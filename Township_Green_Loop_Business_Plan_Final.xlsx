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34C5F0-2DE5-47AC-8F8A-079C1F85227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Investor_View" sheetId="2" r:id="rId2"/>
    <sheet name="Business_Case" sheetId="3" r:id="rId3"/>
    <sheet name="Assumptions" sheetId="4" r:id="rId4"/>
    <sheet name="Pools_Scenarios" sheetId="5" r:id="rId5"/>
    <sheet name="EV_Pilot" sheetId="6" r:id="rId6"/>
    <sheet name="Benefits" sheetId="7" r:id="rId7"/>
    <sheet name="Pricing_Income" sheetId="8" r:id="rId8"/>
    <sheet name="Customer_ROI" sheetId="9" r:id="rId9"/>
    <sheet name="Investor_ROI" sheetId="10" r:id="rId10"/>
    <sheet name="Spendings" sheetId="11" r:id="rId11"/>
    <sheet name="ROI" sheetId="12" r:id="rId12"/>
    <sheet name="Dashboard" sheetId="13" r:id="rId13"/>
    <sheet name="References" sheetId="14" r:id="rId14"/>
    <sheet name="Conservative_Test" sheetId="15" state="hidden" r:id="rId15"/>
    <sheet name="C_Pools" sheetId="16" state="hidden" r:id="rId16"/>
    <sheet name="C_Benefits" sheetId="17" state="hidden" r:id="rId17"/>
    <sheet name="C_Pricing_Income" sheetId="18" state="hidden" r:id="rId18"/>
    <sheet name="C_Customer_ROI" sheetId="19" state="hidden" r:id="rId19"/>
    <sheet name="C_Spendings" sheetId="20" state="hidden" r:id="rId20"/>
    <sheet name="C_ROI" sheetId="21" state="hidden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2" l="1"/>
  <c r="G36" i="21"/>
  <c r="F36" i="21"/>
  <c r="E36" i="21"/>
  <c r="D36" i="21"/>
  <c r="C36" i="21"/>
  <c r="H36" i="21" s="1"/>
  <c r="D30" i="21"/>
  <c r="D29" i="21"/>
  <c r="D28" i="21"/>
  <c r="D27" i="21"/>
  <c r="D26" i="21"/>
  <c r="G5" i="21"/>
  <c r="F5" i="21"/>
  <c r="E5" i="21"/>
  <c r="D5" i="21"/>
  <c r="C5" i="21"/>
  <c r="G18" i="20"/>
  <c r="F18" i="20"/>
  <c r="E18" i="20"/>
  <c r="D18" i="20"/>
  <c r="C18" i="20"/>
  <c r="G17" i="20"/>
  <c r="F17" i="20"/>
  <c r="E17" i="20"/>
  <c r="D17" i="20"/>
  <c r="C17" i="20"/>
  <c r="G13" i="20"/>
  <c r="F13" i="20"/>
  <c r="E13" i="20"/>
  <c r="D13" i="20"/>
  <c r="C13" i="20"/>
  <c r="G12" i="20"/>
  <c r="F12" i="20"/>
  <c r="E12" i="20"/>
  <c r="D12" i="20"/>
  <c r="C12" i="20"/>
  <c r="G11" i="20"/>
  <c r="F11" i="20"/>
  <c r="E11" i="20"/>
  <c r="D11" i="20"/>
  <c r="C11" i="20"/>
  <c r="G9" i="20"/>
  <c r="F9" i="20"/>
  <c r="E9" i="20"/>
  <c r="D9" i="20"/>
  <c r="C9" i="20"/>
  <c r="G8" i="20"/>
  <c r="F8" i="20"/>
  <c r="E8" i="20"/>
  <c r="D8" i="20"/>
  <c r="C8" i="20"/>
  <c r="G7" i="20"/>
  <c r="F7" i="20"/>
  <c r="E7" i="20"/>
  <c r="D7" i="20"/>
  <c r="C7" i="20"/>
  <c r="G6" i="20"/>
  <c r="F6" i="20"/>
  <c r="E6" i="20"/>
  <c r="D6" i="20"/>
  <c r="C6" i="20"/>
  <c r="G5" i="20"/>
  <c r="G10" i="20" s="1"/>
  <c r="F5" i="20"/>
  <c r="F10" i="20" s="1"/>
  <c r="E5" i="20"/>
  <c r="E10" i="20" s="1"/>
  <c r="D5" i="20"/>
  <c r="D10" i="20" s="1"/>
  <c r="C5" i="20"/>
  <c r="C10" i="20" s="1"/>
  <c r="F36" i="18"/>
  <c r="E36" i="18"/>
  <c r="D36" i="18"/>
  <c r="C36" i="18"/>
  <c r="E35" i="18"/>
  <c r="D35" i="18"/>
  <c r="C35" i="18"/>
  <c r="D34" i="18"/>
  <c r="C34" i="18"/>
  <c r="C33" i="18"/>
  <c r="G24" i="18"/>
  <c r="F24" i="18"/>
  <c r="E24" i="18"/>
  <c r="D24" i="18"/>
  <c r="C24" i="18"/>
  <c r="C10" i="18"/>
  <c r="G7" i="18"/>
  <c r="F7" i="18"/>
  <c r="E7" i="18"/>
  <c r="D7" i="18"/>
  <c r="C7" i="18"/>
  <c r="G6" i="18"/>
  <c r="G8" i="18" s="1"/>
  <c r="F6" i="18"/>
  <c r="F8" i="18" s="1"/>
  <c r="E6" i="18"/>
  <c r="E8" i="18" s="1"/>
  <c r="D6" i="18"/>
  <c r="D8" i="18" s="1"/>
  <c r="C6" i="18"/>
  <c r="C8" i="18" s="1"/>
  <c r="G32" i="17"/>
  <c r="G33" i="17" s="1"/>
  <c r="F32" i="17"/>
  <c r="F33" i="17" s="1"/>
  <c r="E32" i="17"/>
  <c r="E33" i="17" s="1"/>
  <c r="D32" i="17"/>
  <c r="D33" i="17" s="1"/>
  <c r="C32" i="17"/>
  <c r="C33" i="17" s="1"/>
  <c r="G20" i="17"/>
  <c r="F20" i="17"/>
  <c r="E20" i="17"/>
  <c r="D20" i="17"/>
  <c r="C20" i="17"/>
  <c r="G11" i="17"/>
  <c r="G22" i="17" s="1"/>
  <c r="F11" i="17"/>
  <c r="F22" i="17" s="1"/>
  <c r="E11" i="17"/>
  <c r="E22" i="17" s="1"/>
  <c r="D11" i="17"/>
  <c r="D22" i="17" s="1"/>
  <c r="C11" i="17"/>
  <c r="C22" i="17" s="1"/>
  <c r="G76" i="16"/>
  <c r="F76" i="16"/>
  <c r="E76" i="16"/>
  <c r="D76" i="16"/>
  <c r="C76" i="16"/>
  <c r="G57" i="16"/>
  <c r="F57" i="16"/>
  <c r="E57" i="16"/>
  <c r="D57" i="16"/>
  <c r="C57" i="16"/>
  <c r="G56" i="16"/>
  <c r="F56" i="16"/>
  <c r="E56" i="16"/>
  <c r="D56" i="16"/>
  <c r="C56" i="16"/>
  <c r="G36" i="16"/>
  <c r="F36" i="16"/>
  <c r="E36" i="16"/>
  <c r="D36" i="16"/>
  <c r="C36" i="16"/>
  <c r="G29" i="16"/>
  <c r="G31" i="16" s="1"/>
  <c r="G58" i="16" s="1"/>
  <c r="F29" i="16"/>
  <c r="F31" i="16" s="1"/>
  <c r="F58" i="16" s="1"/>
  <c r="E29" i="16"/>
  <c r="E31" i="16" s="1"/>
  <c r="E58" i="16" s="1"/>
  <c r="D29" i="16"/>
  <c r="D31" i="16" s="1"/>
  <c r="D58" i="16" s="1"/>
  <c r="C29" i="16"/>
  <c r="C31" i="16" s="1"/>
  <c r="C58" i="16" s="1"/>
  <c r="G25" i="16"/>
  <c r="G26" i="16" s="1"/>
  <c r="F25" i="16"/>
  <c r="F26" i="16" s="1"/>
  <c r="E25" i="16"/>
  <c r="E26" i="16" s="1"/>
  <c r="D25" i="16"/>
  <c r="D26" i="16" s="1"/>
  <c r="C25" i="16"/>
  <c r="G19" i="16"/>
  <c r="F19" i="16"/>
  <c r="E19" i="16"/>
  <c r="D19" i="16"/>
  <c r="C19" i="16"/>
  <c r="G16" i="16"/>
  <c r="G17" i="16" s="1"/>
  <c r="F16" i="16"/>
  <c r="F17" i="16" s="1"/>
  <c r="E16" i="16"/>
  <c r="E17" i="16" s="1"/>
  <c r="D16" i="16"/>
  <c r="D17" i="16" s="1"/>
  <c r="C16" i="16"/>
  <c r="G14" i="16"/>
  <c r="F14" i="16"/>
  <c r="E14" i="16"/>
  <c r="D14" i="16"/>
  <c r="C14" i="16"/>
  <c r="G13" i="16"/>
  <c r="F13" i="16"/>
  <c r="E13" i="16"/>
  <c r="D13" i="16"/>
  <c r="C13" i="16"/>
  <c r="G12" i="16"/>
  <c r="F12" i="16"/>
  <c r="E12" i="16"/>
  <c r="D12" i="16"/>
  <c r="C12" i="16"/>
  <c r="C11" i="16"/>
  <c r="G10" i="16"/>
  <c r="F10" i="16"/>
  <c r="E10" i="16"/>
  <c r="G11" i="16" s="1"/>
  <c r="D10" i="16"/>
  <c r="F11" i="16" s="1"/>
  <c r="C10" i="16"/>
  <c r="G9" i="16"/>
  <c r="F9" i="16"/>
  <c r="E9" i="16"/>
  <c r="D9" i="16"/>
  <c r="C9" i="16"/>
  <c r="C8" i="16"/>
  <c r="G7" i="16"/>
  <c r="F7" i="16"/>
  <c r="E7" i="16"/>
  <c r="G8" i="16" s="1"/>
  <c r="D7" i="16"/>
  <c r="F8" i="16" s="1"/>
  <c r="C7" i="16"/>
  <c r="C25" i="15"/>
  <c r="C24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5" i="15"/>
  <c r="G36" i="12"/>
  <c r="F36" i="12"/>
  <c r="E36" i="12"/>
  <c r="D36" i="12"/>
  <c r="C36" i="12"/>
  <c r="H36" i="12" s="1"/>
  <c r="D30" i="12"/>
  <c r="D29" i="12"/>
  <c r="D28" i="12"/>
  <c r="D27" i="12"/>
  <c r="D26" i="12"/>
  <c r="G18" i="11"/>
  <c r="F18" i="11"/>
  <c r="E18" i="11"/>
  <c r="D18" i="11"/>
  <c r="C18" i="11"/>
  <c r="G17" i="11"/>
  <c r="F17" i="11"/>
  <c r="E17" i="11"/>
  <c r="D17" i="11"/>
  <c r="C17" i="11"/>
  <c r="G13" i="11"/>
  <c r="F13" i="11"/>
  <c r="E13" i="11"/>
  <c r="D13" i="11"/>
  <c r="C13" i="11"/>
  <c r="G12" i="11"/>
  <c r="F12" i="11"/>
  <c r="E12" i="11"/>
  <c r="D12" i="11"/>
  <c r="C12" i="11"/>
  <c r="G11" i="11"/>
  <c r="F11" i="11"/>
  <c r="E11" i="11"/>
  <c r="D11" i="11"/>
  <c r="C11" i="11"/>
  <c r="G9" i="11"/>
  <c r="F9" i="11"/>
  <c r="E9" i="11"/>
  <c r="D9" i="11"/>
  <c r="C9" i="11"/>
  <c r="G8" i="11"/>
  <c r="F8" i="11"/>
  <c r="E8" i="11"/>
  <c r="D8" i="11"/>
  <c r="C8" i="11"/>
  <c r="G7" i="11"/>
  <c r="F7" i="11"/>
  <c r="E7" i="11"/>
  <c r="D7" i="11"/>
  <c r="C7" i="11"/>
  <c r="G6" i="11"/>
  <c r="F6" i="11"/>
  <c r="E6" i="11"/>
  <c r="D6" i="11"/>
  <c r="C6" i="11"/>
  <c r="C50" i="10"/>
  <c r="B50" i="10"/>
  <c r="C49" i="10"/>
  <c r="B49" i="10"/>
  <c r="C48" i="10"/>
  <c r="B48" i="10"/>
  <c r="C46" i="10"/>
  <c r="C47" i="10" s="1"/>
  <c r="B46" i="10"/>
  <c r="B47" i="10" s="1"/>
  <c r="C45" i="10"/>
  <c r="B45" i="10"/>
  <c r="C30" i="10"/>
  <c r="B30" i="10"/>
  <c r="C22" i="10"/>
  <c r="B22" i="10"/>
  <c r="C19" i="10"/>
  <c r="B19" i="10"/>
  <c r="C18" i="10"/>
  <c r="C20" i="10" s="1"/>
  <c r="C21" i="10" s="1"/>
  <c r="B18" i="10"/>
  <c r="B20" i="10" s="1"/>
  <c r="B21" i="10" s="1"/>
  <c r="C16" i="10"/>
  <c r="B16" i="10"/>
  <c r="C15" i="10"/>
  <c r="C17" i="10" s="1"/>
  <c r="B15" i="10"/>
  <c r="B17" i="10" s="1"/>
  <c r="C9" i="10"/>
  <c r="B9" i="10"/>
  <c r="C7" i="10"/>
  <c r="B7" i="10"/>
  <c r="C6" i="10"/>
  <c r="C8" i="10" s="1"/>
  <c r="B6" i="10"/>
  <c r="B8" i="10" s="1"/>
  <c r="B10" i="10" s="1"/>
  <c r="B11" i="10" s="1"/>
  <c r="F36" i="8"/>
  <c r="E36" i="8"/>
  <c r="D36" i="8"/>
  <c r="C36" i="8"/>
  <c r="E35" i="8"/>
  <c r="D35" i="8"/>
  <c r="C35" i="8"/>
  <c r="D34" i="8"/>
  <c r="C34" i="8"/>
  <c r="C33" i="8"/>
  <c r="G24" i="8"/>
  <c r="F24" i="8"/>
  <c r="E24" i="8"/>
  <c r="D24" i="8"/>
  <c r="C24" i="8"/>
  <c r="C10" i="8"/>
  <c r="G7" i="8"/>
  <c r="F7" i="8"/>
  <c r="E7" i="8"/>
  <c r="D7" i="8"/>
  <c r="C7" i="8"/>
  <c r="G6" i="8"/>
  <c r="G8" i="8" s="1"/>
  <c r="F6" i="8"/>
  <c r="F8" i="8" s="1"/>
  <c r="E6" i="8"/>
  <c r="E8" i="8" s="1"/>
  <c r="D6" i="8"/>
  <c r="D8" i="8" s="1"/>
  <c r="C6" i="8"/>
  <c r="C8" i="8" s="1"/>
  <c r="G32" i="7"/>
  <c r="G33" i="7" s="1"/>
  <c r="F32" i="7"/>
  <c r="F33" i="7" s="1"/>
  <c r="E32" i="7"/>
  <c r="E33" i="7" s="1"/>
  <c r="D32" i="7"/>
  <c r="D33" i="7" s="1"/>
  <c r="C32" i="7"/>
  <c r="C33" i="7" s="1"/>
  <c r="G20" i="7"/>
  <c r="F20" i="7"/>
  <c r="E20" i="7"/>
  <c r="D20" i="7"/>
  <c r="C20" i="7"/>
  <c r="G11" i="7"/>
  <c r="G22" i="7" s="1"/>
  <c r="F11" i="7"/>
  <c r="F22" i="7" s="1"/>
  <c r="E11" i="7"/>
  <c r="E22" i="7" s="1"/>
  <c r="D11" i="7"/>
  <c r="D22" i="7" s="1"/>
  <c r="C11" i="7"/>
  <c r="C22" i="7" s="1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N34" i="6" s="1"/>
  <c r="M32" i="6"/>
  <c r="M34" i="6" s="1"/>
  <c r="L32" i="6"/>
  <c r="L34" i="6" s="1"/>
  <c r="K32" i="6"/>
  <c r="K34" i="6" s="1"/>
  <c r="J32" i="6"/>
  <c r="J34" i="6" s="1"/>
  <c r="I32" i="6"/>
  <c r="I34" i="6" s="1"/>
  <c r="H32" i="6"/>
  <c r="H34" i="6" s="1"/>
  <c r="G32" i="6"/>
  <c r="G34" i="6" s="1"/>
  <c r="F32" i="6"/>
  <c r="F34" i="6" s="1"/>
  <c r="E32" i="6"/>
  <c r="E34" i="6" s="1"/>
  <c r="D32" i="6"/>
  <c r="D34" i="6" s="1"/>
  <c r="C32" i="6"/>
  <c r="C34" i="6" s="1"/>
  <c r="B32" i="6"/>
  <c r="B34" i="6" s="1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N47" i="6" s="1"/>
  <c r="M18" i="6"/>
  <c r="M47" i="6" s="1"/>
  <c r="L18" i="6"/>
  <c r="L47" i="6" s="1"/>
  <c r="K18" i="6"/>
  <c r="K47" i="6" s="1"/>
  <c r="J18" i="6"/>
  <c r="J47" i="6" s="1"/>
  <c r="I18" i="6"/>
  <c r="I47" i="6" s="1"/>
  <c r="H18" i="6"/>
  <c r="H47" i="6" s="1"/>
  <c r="G18" i="6"/>
  <c r="G47" i="6" s="1"/>
  <c r="F18" i="6"/>
  <c r="F47" i="6" s="1"/>
  <c r="E18" i="6"/>
  <c r="E47" i="6" s="1"/>
  <c r="D18" i="6"/>
  <c r="D47" i="6" s="1"/>
  <c r="C18" i="6"/>
  <c r="C47" i="6" s="1"/>
  <c r="B18" i="6"/>
  <c r="B47" i="6" s="1"/>
  <c r="N17" i="6"/>
  <c r="N20" i="6" s="1"/>
  <c r="N46" i="6" s="1"/>
  <c r="N53" i="6" s="1"/>
  <c r="M17" i="6"/>
  <c r="M20" i="6" s="1"/>
  <c r="M46" i="6" s="1"/>
  <c r="M53" i="6" s="1"/>
  <c r="L17" i="6"/>
  <c r="L20" i="6" s="1"/>
  <c r="L46" i="6" s="1"/>
  <c r="L53" i="6" s="1"/>
  <c r="K17" i="6"/>
  <c r="K20" i="6" s="1"/>
  <c r="K46" i="6" s="1"/>
  <c r="K53" i="6" s="1"/>
  <c r="J17" i="6"/>
  <c r="J20" i="6" s="1"/>
  <c r="J46" i="6" s="1"/>
  <c r="J53" i="6" s="1"/>
  <c r="I17" i="6"/>
  <c r="I20" i="6" s="1"/>
  <c r="I46" i="6" s="1"/>
  <c r="I53" i="6" s="1"/>
  <c r="H17" i="6"/>
  <c r="H20" i="6" s="1"/>
  <c r="H46" i="6" s="1"/>
  <c r="H53" i="6" s="1"/>
  <c r="G17" i="6"/>
  <c r="G20" i="6" s="1"/>
  <c r="G46" i="6" s="1"/>
  <c r="G53" i="6" s="1"/>
  <c r="F17" i="6"/>
  <c r="F20" i="6" s="1"/>
  <c r="F46" i="6" s="1"/>
  <c r="F53" i="6" s="1"/>
  <c r="E17" i="6"/>
  <c r="E20" i="6" s="1"/>
  <c r="E46" i="6" s="1"/>
  <c r="E53" i="6" s="1"/>
  <c r="D17" i="6"/>
  <c r="D20" i="6" s="1"/>
  <c r="D46" i="6" s="1"/>
  <c r="D53" i="6" s="1"/>
  <c r="C17" i="6"/>
  <c r="C20" i="6" s="1"/>
  <c r="C46" i="6" s="1"/>
  <c r="C53" i="6" s="1"/>
  <c r="B17" i="6"/>
  <c r="B20" i="6" s="1"/>
  <c r="B46" i="6" s="1"/>
  <c r="B53" i="6" s="1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M12" i="6"/>
  <c r="M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N9" i="6" s="1"/>
  <c r="M6" i="6"/>
  <c r="M9" i="6" s="1"/>
  <c r="L6" i="6"/>
  <c r="L9" i="6" s="1"/>
  <c r="K6" i="6"/>
  <c r="K9" i="6" s="1"/>
  <c r="J6" i="6"/>
  <c r="J9" i="6" s="1"/>
  <c r="I6" i="6"/>
  <c r="I9" i="6" s="1"/>
  <c r="H6" i="6"/>
  <c r="H9" i="6" s="1"/>
  <c r="G6" i="6"/>
  <c r="G9" i="6" s="1"/>
  <c r="F6" i="6"/>
  <c r="F9" i="6" s="1"/>
  <c r="E6" i="6"/>
  <c r="E9" i="6" s="1"/>
  <c r="D6" i="6"/>
  <c r="D9" i="6" s="1"/>
  <c r="C6" i="6"/>
  <c r="C9" i="6" s="1"/>
  <c r="B6" i="6"/>
  <c r="B9" i="6" s="1"/>
  <c r="C104" i="5"/>
  <c r="B104" i="5"/>
  <c r="D103" i="5"/>
  <c r="B103" i="5"/>
  <c r="B25" i="15" s="1"/>
  <c r="B102" i="5"/>
  <c r="C101" i="5"/>
  <c r="B101" i="5"/>
  <c r="B100" i="5"/>
  <c r="B99" i="5"/>
  <c r="B98" i="5"/>
  <c r="B97" i="5"/>
  <c r="B96" i="5"/>
  <c r="B95" i="5"/>
  <c r="B94" i="5"/>
  <c r="B93" i="5"/>
  <c r="B92" i="5"/>
  <c r="B91" i="5"/>
  <c r="D90" i="5"/>
  <c r="B90" i="5"/>
  <c r="B12" i="15" s="1"/>
  <c r="B89" i="5"/>
  <c r="B88" i="5"/>
  <c r="B87" i="5"/>
  <c r="D86" i="5"/>
  <c r="B86" i="5"/>
  <c r="B8" i="15" s="1"/>
  <c r="B85" i="5"/>
  <c r="C84" i="5"/>
  <c r="C6" i="15" s="1"/>
  <c r="D83" i="5"/>
  <c r="B83" i="5"/>
  <c r="B5" i="15" s="1"/>
  <c r="G76" i="5"/>
  <c r="F76" i="5"/>
  <c r="E76" i="5"/>
  <c r="D76" i="5"/>
  <c r="C76" i="5"/>
  <c r="G57" i="5"/>
  <c r="F57" i="5"/>
  <c r="E57" i="5"/>
  <c r="D57" i="5"/>
  <c r="C57" i="5"/>
  <c r="G56" i="5"/>
  <c r="F56" i="5"/>
  <c r="E56" i="5"/>
  <c r="D56" i="5"/>
  <c r="C56" i="5"/>
  <c r="G36" i="5"/>
  <c r="G37" i="5" s="1"/>
  <c r="F36" i="5"/>
  <c r="F37" i="5" s="1"/>
  <c r="E36" i="5"/>
  <c r="E37" i="5" s="1"/>
  <c r="D36" i="5"/>
  <c r="D37" i="5" s="1"/>
  <c r="C36" i="5"/>
  <c r="G29" i="5"/>
  <c r="G31" i="5" s="1"/>
  <c r="G58" i="5" s="1"/>
  <c r="F29" i="5"/>
  <c r="F31" i="5" s="1"/>
  <c r="F58" i="5" s="1"/>
  <c r="E29" i="5"/>
  <c r="E31" i="5" s="1"/>
  <c r="E58" i="5" s="1"/>
  <c r="D29" i="5"/>
  <c r="D31" i="5" s="1"/>
  <c r="D58" i="5" s="1"/>
  <c r="C29" i="5"/>
  <c r="C31" i="5" s="1"/>
  <c r="C58" i="5" s="1"/>
  <c r="G25" i="5"/>
  <c r="G26" i="5" s="1"/>
  <c r="F25" i="5"/>
  <c r="F26" i="5" s="1"/>
  <c r="E25" i="5"/>
  <c r="E26" i="5" s="1"/>
  <c r="D25" i="5"/>
  <c r="D26" i="5" s="1"/>
  <c r="C25" i="5"/>
  <c r="G19" i="5"/>
  <c r="F19" i="5"/>
  <c r="E19" i="5"/>
  <c r="D19" i="5"/>
  <c r="C19" i="5"/>
  <c r="G16" i="5"/>
  <c r="G17" i="5" s="1"/>
  <c r="G45" i="5" s="1"/>
  <c r="F16" i="5"/>
  <c r="F17" i="5" s="1"/>
  <c r="F45" i="5" s="1"/>
  <c r="E16" i="5"/>
  <c r="E17" i="5" s="1"/>
  <c r="E45" i="5" s="1"/>
  <c r="D16" i="5"/>
  <c r="D17" i="5" s="1"/>
  <c r="D45" i="5" s="1"/>
  <c r="C16" i="5"/>
  <c r="G14" i="5"/>
  <c r="F14" i="5"/>
  <c r="E14" i="5"/>
  <c r="D14" i="5"/>
  <c r="C14" i="5"/>
  <c r="G13" i="5"/>
  <c r="F13" i="5"/>
  <c r="E13" i="5"/>
  <c r="D13" i="5"/>
  <c r="C13" i="5"/>
  <c r="G12" i="5"/>
  <c r="F12" i="5"/>
  <c r="E12" i="5"/>
  <c r="D12" i="5"/>
  <c r="C12" i="5"/>
  <c r="C11" i="5"/>
  <c r="G10" i="5"/>
  <c r="F10" i="5"/>
  <c r="E10" i="5"/>
  <c r="G11" i="5" s="1"/>
  <c r="D10" i="5"/>
  <c r="F11" i="5" s="1"/>
  <c r="C10" i="5"/>
  <c r="G9" i="5"/>
  <c r="F9" i="5"/>
  <c r="E9" i="5"/>
  <c r="D9" i="5"/>
  <c r="C9" i="5"/>
  <c r="C8" i="5"/>
  <c r="G7" i="5"/>
  <c r="F7" i="5"/>
  <c r="E7" i="5"/>
  <c r="G8" i="5" s="1"/>
  <c r="D7" i="5"/>
  <c r="F8" i="5" s="1"/>
  <c r="C7" i="5"/>
  <c r="B139" i="4"/>
  <c r="B102" i="4"/>
  <c r="B38" i="4"/>
  <c r="B35" i="4"/>
  <c r="B84" i="5" s="1"/>
  <c r="B30" i="4"/>
  <c r="B18" i="4"/>
  <c r="B12" i="10" s="1"/>
  <c r="B11" i="4"/>
  <c r="A20" i="2"/>
  <c r="C18" i="2"/>
  <c r="B18" i="2"/>
  <c r="C13" i="2"/>
  <c r="B13" i="2"/>
  <c r="G9" i="2"/>
  <c r="F9" i="2"/>
  <c r="E9" i="2"/>
  <c r="D9" i="2"/>
  <c r="C9" i="2"/>
  <c r="B9" i="2"/>
  <c r="E7" i="2"/>
  <c r="D7" i="2"/>
  <c r="C7" i="2"/>
  <c r="B7" i="2"/>
  <c r="G6" i="2"/>
  <c r="F6" i="2"/>
  <c r="E6" i="2"/>
  <c r="D6" i="2"/>
  <c r="C6" i="2"/>
  <c r="B6" i="2"/>
  <c r="A23" i="1"/>
  <c r="A13" i="1"/>
  <c r="G16" i="18" l="1"/>
  <c r="F16" i="18"/>
  <c r="E16" i="18"/>
  <c r="D16" i="18"/>
  <c r="C16" i="18"/>
  <c r="C37" i="16"/>
  <c r="C39" i="16"/>
  <c r="D39" i="16"/>
  <c r="E39" i="16"/>
  <c r="F39" i="16"/>
  <c r="G39" i="16"/>
  <c r="C26" i="16"/>
  <c r="C28" i="16"/>
  <c r="D28" i="16"/>
  <c r="G28" i="16"/>
  <c r="F28" i="16"/>
  <c r="E28" i="16"/>
  <c r="E21" i="16"/>
  <c r="E22" i="16" s="1"/>
  <c r="F21" i="16"/>
  <c r="F22" i="16" s="1"/>
  <c r="G21" i="16"/>
  <c r="G22" i="16" s="1"/>
  <c r="C17" i="16"/>
  <c r="C21" i="16"/>
  <c r="C22" i="16" s="1"/>
  <c r="D21" i="16"/>
  <c r="D22" i="16" s="1"/>
  <c r="D11" i="16"/>
  <c r="E11" i="16"/>
  <c r="G27" i="18"/>
  <c r="F27" i="18"/>
  <c r="E27" i="18"/>
  <c r="E38" i="18" s="1"/>
  <c r="D27" i="18"/>
  <c r="C27" i="18"/>
  <c r="C38" i="18" s="1"/>
  <c r="D8" i="16"/>
  <c r="E8" i="16"/>
  <c r="C52" i="10"/>
  <c r="C53" i="10"/>
  <c r="B53" i="10"/>
  <c r="B52" i="10"/>
  <c r="C10" i="10"/>
  <c r="C11" i="10" s="1"/>
  <c r="B15" i="2"/>
  <c r="C15" i="2"/>
  <c r="B40" i="10"/>
  <c r="B32" i="15"/>
  <c r="G16" i="8"/>
  <c r="F16" i="8"/>
  <c r="E16" i="8"/>
  <c r="D16" i="8"/>
  <c r="C16" i="8"/>
  <c r="G5" i="11"/>
  <c r="G10" i="11" s="1"/>
  <c r="G14" i="11" s="1"/>
  <c r="G9" i="12" s="1"/>
  <c r="C8" i="13" s="1"/>
  <c r="G5" i="12"/>
  <c r="F5" i="12"/>
  <c r="F5" i="11"/>
  <c r="F10" i="11" s="1"/>
  <c r="F14" i="11" s="1"/>
  <c r="F9" i="12" s="1"/>
  <c r="C7" i="13" s="1"/>
  <c r="E5" i="11"/>
  <c r="E10" i="11" s="1"/>
  <c r="E14" i="11" s="1"/>
  <c r="E9" i="12" s="1"/>
  <c r="C6" i="13" s="1"/>
  <c r="E5" i="12"/>
  <c r="D5" i="11"/>
  <c r="D10" i="11" s="1"/>
  <c r="D14" i="11" s="1"/>
  <c r="D9" i="12" s="1"/>
  <c r="C5" i="13" s="1"/>
  <c r="D5" i="12"/>
  <c r="C5" i="12"/>
  <c r="C5" i="11"/>
  <c r="C10" i="11" s="1"/>
  <c r="C14" i="11" s="1"/>
  <c r="C9" i="12" s="1"/>
  <c r="N26" i="6"/>
  <c r="N40" i="6"/>
  <c r="M40" i="6"/>
  <c r="M26" i="6"/>
  <c r="L26" i="6"/>
  <c r="L40" i="6"/>
  <c r="K40" i="6"/>
  <c r="K26" i="6"/>
  <c r="J26" i="6"/>
  <c r="J40" i="6"/>
  <c r="I26" i="6"/>
  <c r="I40" i="6"/>
  <c r="H26" i="6"/>
  <c r="H40" i="6"/>
  <c r="G40" i="6"/>
  <c r="G26" i="6"/>
  <c r="F26" i="6"/>
  <c r="F40" i="6"/>
  <c r="E26" i="6"/>
  <c r="E40" i="6"/>
  <c r="D40" i="6"/>
  <c r="D26" i="6"/>
  <c r="C40" i="6"/>
  <c r="C26" i="6"/>
  <c r="B26" i="6"/>
  <c r="B40" i="6"/>
  <c r="N11" i="6"/>
  <c r="N12" i="6"/>
  <c r="L11" i="6"/>
  <c r="L12" i="6"/>
  <c r="K12" i="6"/>
  <c r="K11" i="6"/>
  <c r="J12" i="6"/>
  <c r="J11" i="6"/>
  <c r="I11" i="6"/>
  <c r="I12" i="6"/>
  <c r="H11" i="6"/>
  <c r="H12" i="6"/>
  <c r="G12" i="6"/>
  <c r="G11" i="6"/>
  <c r="F11" i="6"/>
  <c r="F12" i="6"/>
  <c r="E11" i="6"/>
  <c r="E12" i="6"/>
  <c r="D11" i="6"/>
  <c r="D12" i="6"/>
  <c r="C11" i="6"/>
  <c r="C12" i="6"/>
  <c r="B11" i="6"/>
  <c r="B12" i="6"/>
  <c r="N22" i="6"/>
  <c r="N36" i="6"/>
  <c r="M36" i="6"/>
  <c r="M22" i="6"/>
  <c r="L22" i="6"/>
  <c r="L36" i="6"/>
  <c r="K36" i="6"/>
  <c r="K22" i="6"/>
  <c r="J36" i="6"/>
  <c r="J22" i="6"/>
  <c r="I22" i="6"/>
  <c r="I36" i="6"/>
  <c r="H22" i="6"/>
  <c r="H36" i="6"/>
  <c r="G36" i="6"/>
  <c r="G22" i="6"/>
  <c r="F22" i="6"/>
  <c r="F36" i="6"/>
  <c r="E36" i="6"/>
  <c r="E22" i="6"/>
  <c r="D22" i="6"/>
  <c r="D36" i="6"/>
  <c r="C36" i="6"/>
  <c r="C22" i="6"/>
  <c r="B22" i="6"/>
  <c r="B36" i="6"/>
  <c r="N21" i="6"/>
  <c r="N35" i="6"/>
  <c r="N62" i="6"/>
  <c r="M21" i="6"/>
  <c r="M35" i="6"/>
  <c r="M62" i="6"/>
  <c r="L21" i="6"/>
  <c r="L35" i="6"/>
  <c r="L62" i="6"/>
  <c r="K21" i="6"/>
  <c r="K62" i="6"/>
  <c r="K35" i="6"/>
  <c r="J35" i="6"/>
  <c r="J62" i="6"/>
  <c r="J21" i="6"/>
  <c r="I62" i="6"/>
  <c r="I21" i="6"/>
  <c r="I35" i="6"/>
  <c r="H21" i="6"/>
  <c r="H62" i="6"/>
  <c r="H35" i="6"/>
  <c r="G21" i="6"/>
  <c r="G35" i="6"/>
  <c r="G62" i="6"/>
  <c r="F21" i="6"/>
  <c r="F35" i="6"/>
  <c r="F62" i="6"/>
  <c r="E62" i="6"/>
  <c r="E21" i="6"/>
  <c r="E35" i="6"/>
  <c r="D21" i="6"/>
  <c r="D35" i="6"/>
  <c r="D62" i="6"/>
  <c r="C21" i="6"/>
  <c r="C35" i="6"/>
  <c r="C62" i="6"/>
  <c r="C60" i="16"/>
  <c r="D60" i="16"/>
  <c r="E60" i="16"/>
  <c r="F60" i="16"/>
  <c r="G60" i="16"/>
  <c r="C28" i="10"/>
  <c r="B62" i="6"/>
  <c r="C60" i="5"/>
  <c r="F60" i="5"/>
  <c r="G60" i="5"/>
  <c r="B35" i="6"/>
  <c r="D60" i="5"/>
  <c r="E60" i="5"/>
  <c r="B21" i="6"/>
  <c r="B28" i="10"/>
  <c r="D102" i="5"/>
  <c r="B24" i="15"/>
  <c r="C12" i="10"/>
  <c r="C23" i="15"/>
  <c r="B23" i="15"/>
  <c r="D101" i="5"/>
  <c r="B22" i="15"/>
  <c r="D100" i="5"/>
  <c r="B21" i="15"/>
  <c r="D99" i="5"/>
  <c r="B20" i="15"/>
  <c r="D98" i="5"/>
  <c r="B19" i="15"/>
  <c r="D97" i="5"/>
  <c r="D96" i="5"/>
  <c r="B18" i="15"/>
  <c r="B17" i="15"/>
  <c r="D95" i="5"/>
  <c r="D94" i="5"/>
  <c r="B16" i="15"/>
  <c r="B15" i="15"/>
  <c r="D93" i="5"/>
  <c r="D92" i="5"/>
  <c r="B14" i="15"/>
  <c r="B13" i="15"/>
  <c r="D91" i="5"/>
  <c r="B11" i="15"/>
  <c r="D89" i="5"/>
  <c r="B10" i="15"/>
  <c r="D88" i="5"/>
  <c r="B9" i="15"/>
  <c r="D87" i="5"/>
  <c r="B7" i="15"/>
  <c r="D85" i="5"/>
  <c r="G39" i="5"/>
  <c r="C37" i="5"/>
  <c r="E39" i="5"/>
  <c r="C39" i="5"/>
  <c r="D39" i="5"/>
  <c r="F39" i="5"/>
  <c r="E28" i="5"/>
  <c r="C26" i="5"/>
  <c r="D28" i="5"/>
  <c r="C28" i="5"/>
  <c r="G28" i="5"/>
  <c r="F28" i="5"/>
  <c r="G49" i="5"/>
  <c r="G9" i="8"/>
  <c r="F49" i="5"/>
  <c r="F9" i="8"/>
  <c r="E49" i="5"/>
  <c r="E9" i="8"/>
  <c r="D9" i="8"/>
  <c r="D49" i="5"/>
  <c r="C21" i="5"/>
  <c r="C22" i="5" s="1"/>
  <c r="F21" i="5"/>
  <c r="F22" i="5" s="1"/>
  <c r="G21" i="5"/>
  <c r="G22" i="5" s="1"/>
  <c r="C17" i="5"/>
  <c r="D21" i="5"/>
  <c r="D22" i="5" s="1"/>
  <c r="E21" i="5"/>
  <c r="E22" i="5" s="1"/>
  <c r="E11" i="5"/>
  <c r="D11" i="5"/>
  <c r="G27" i="8"/>
  <c r="F27" i="8"/>
  <c r="E27" i="8"/>
  <c r="D27" i="8"/>
  <c r="C27" i="8"/>
  <c r="C38" i="8" s="1"/>
  <c r="D8" i="5"/>
  <c r="E8" i="5"/>
  <c r="B13" i="6"/>
  <c r="K13" i="6"/>
  <c r="N13" i="6"/>
  <c r="C13" i="6"/>
  <c r="L13" i="6"/>
  <c r="M13" i="6"/>
  <c r="H13" i="6"/>
  <c r="E13" i="6"/>
  <c r="J13" i="6"/>
  <c r="I13" i="6"/>
  <c r="F13" i="6"/>
  <c r="D13" i="6"/>
  <c r="G13" i="6"/>
  <c r="D84" i="5"/>
  <c r="B6" i="15"/>
  <c r="C11" i="2"/>
  <c r="C16" i="2"/>
  <c r="C17" i="2"/>
  <c r="C12" i="2"/>
  <c r="B11" i="2"/>
  <c r="B17" i="2"/>
  <c r="B16" i="2"/>
  <c r="B12" i="2"/>
  <c r="F37" i="16"/>
  <c r="F45" i="16" s="1"/>
  <c r="B51" i="10"/>
  <c r="G14" i="20"/>
  <c r="G9" i="21" s="1"/>
  <c r="F14" i="20"/>
  <c r="F9" i="21" s="1"/>
  <c r="E14" i="20"/>
  <c r="E9" i="21" s="1"/>
  <c r="D14" i="20"/>
  <c r="D9" i="21" s="1"/>
  <c r="C14" i="20"/>
  <c r="C9" i="21" s="1"/>
  <c r="H9" i="21" s="1"/>
  <c r="G37" i="16"/>
  <c r="G45" i="16" s="1"/>
  <c r="E37" i="16"/>
  <c r="E45" i="16" s="1"/>
  <c r="D37" i="16"/>
  <c r="D45" i="16" s="1"/>
  <c r="C51" i="10"/>
  <c r="C23" i="10"/>
  <c r="C24" i="10" s="1"/>
  <c r="C25" i="10" s="1"/>
  <c r="B23" i="10"/>
  <c r="B24" i="10" s="1"/>
  <c r="B25" i="10" s="1"/>
  <c r="C38" i="16" l="1"/>
  <c r="D38" i="16"/>
  <c r="E38" i="16"/>
  <c r="F38" i="16"/>
  <c r="G38" i="16"/>
  <c r="C43" i="16"/>
  <c r="D43" i="16"/>
  <c r="E43" i="16"/>
  <c r="F43" i="16"/>
  <c r="G43" i="16"/>
  <c r="C27" i="16"/>
  <c r="D27" i="16"/>
  <c r="E27" i="16"/>
  <c r="F27" i="16"/>
  <c r="G27" i="16"/>
  <c r="C30" i="16"/>
  <c r="C32" i="16"/>
  <c r="C16" i="17" s="1"/>
  <c r="C33" i="16"/>
  <c r="C34" i="16" s="1"/>
  <c r="C59" i="16"/>
  <c r="C7" i="17"/>
  <c r="C28" i="18"/>
  <c r="C39" i="18" s="1"/>
  <c r="D30" i="16"/>
  <c r="D32" i="16"/>
  <c r="D16" i="17" s="1"/>
  <c r="D33" i="16"/>
  <c r="D34" i="16" s="1"/>
  <c r="D59" i="16"/>
  <c r="D7" i="17"/>
  <c r="D28" i="18"/>
  <c r="D39" i="18" s="1"/>
  <c r="G30" i="16"/>
  <c r="G32" i="16"/>
  <c r="G16" i="17" s="1"/>
  <c r="G33" i="16"/>
  <c r="G34" i="16" s="1"/>
  <c r="G59" i="16"/>
  <c r="G7" i="17"/>
  <c r="G28" i="18"/>
  <c r="F30" i="16"/>
  <c r="F32" i="16"/>
  <c r="F16" i="17" s="1"/>
  <c r="F33" i="16"/>
  <c r="F34" i="16" s="1"/>
  <c r="F59" i="16"/>
  <c r="F7" i="17"/>
  <c r="F28" i="18"/>
  <c r="E30" i="16"/>
  <c r="E32" i="16"/>
  <c r="E16" i="17" s="1"/>
  <c r="E33" i="16"/>
  <c r="E34" i="16" s="1"/>
  <c r="E59" i="16"/>
  <c r="E7" i="17"/>
  <c r="E28" i="18"/>
  <c r="E39" i="18" s="1"/>
  <c r="E23" i="16"/>
  <c r="E51" i="16" s="1"/>
  <c r="E63" i="16"/>
  <c r="F23" i="16"/>
  <c r="F51" i="16" s="1"/>
  <c r="F63" i="16"/>
  <c r="G23" i="16"/>
  <c r="G51" i="16" s="1"/>
  <c r="G63" i="16"/>
  <c r="C18" i="16"/>
  <c r="D18" i="16"/>
  <c r="E18" i="16"/>
  <c r="F18" i="16"/>
  <c r="G18" i="16"/>
  <c r="C20" i="16"/>
  <c r="D20" i="16"/>
  <c r="E20" i="16"/>
  <c r="F20" i="16"/>
  <c r="G20" i="16"/>
  <c r="C45" i="16"/>
  <c r="C23" i="16"/>
  <c r="C51" i="16" s="1"/>
  <c r="C63" i="16"/>
  <c r="D23" i="16"/>
  <c r="D51" i="16" s="1"/>
  <c r="D63" i="16"/>
  <c r="E15" i="2"/>
  <c r="D15" i="2"/>
  <c r="C40" i="10"/>
  <c r="C32" i="15"/>
  <c r="E32" i="15"/>
  <c r="G31" i="1" s="1"/>
  <c r="C31" i="1"/>
  <c r="C4" i="13"/>
  <c r="H9" i="12"/>
  <c r="C63" i="6"/>
  <c r="C64" i="6" s="1"/>
  <c r="D63" i="6"/>
  <c r="D64" i="6" s="1"/>
  <c r="F63" i="6"/>
  <c r="F64" i="6" s="1"/>
  <c r="G63" i="6"/>
  <c r="G64" i="6" s="1"/>
  <c r="H63" i="6"/>
  <c r="H64" i="6" s="1"/>
  <c r="I63" i="6"/>
  <c r="I64" i="6" s="1"/>
  <c r="K63" i="6"/>
  <c r="K64" i="6" s="1"/>
  <c r="L63" i="6"/>
  <c r="L64" i="6" s="1"/>
  <c r="M63" i="6"/>
  <c r="M64" i="6" s="1"/>
  <c r="B63" i="6"/>
  <c r="B64" i="6" s="1"/>
  <c r="E63" i="6"/>
  <c r="E64" i="6" s="1"/>
  <c r="J63" i="6"/>
  <c r="J64" i="6" s="1"/>
  <c r="N63" i="6"/>
  <c r="N64" i="6" s="1"/>
  <c r="N24" i="6"/>
  <c r="N30" i="6"/>
  <c r="N38" i="6"/>
  <c r="N44" i="6"/>
  <c r="N66" i="6"/>
  <c r="N67" i="6"/>
  <c r="M30" i="6"/>
  <c r="M48" i="6" s="1"/>
  <c r="M24" i="6"/>
  <c r="M29" i="6" s="1"/>
  <c r="M38" i="6"/>
  <c r="M44" i="6"/>
  <c r="M67" i="6"/>
  <c r="M66" i="6"/>
  <c r="L24" i="6"/>
  <c r="L30" i="6"/>
  <c r="L38" i="6"/>
  <c r="L43" i="6" s="1"/>
  <c r="L44" i="6"/>
  <c r="L67" i="6"/>
  <c r="L66" i="6"/>
  <c r="K24" i="6"/>
  <c r="K29" i="6" s="1"/>
  <c r="K30" i="6"/>
  <c r="K66" i="6"/>
  <c r="K67" i="6"/>
  <c r="K38" i="6"/>
  <c r="K44" i="6"/>
  <c r="J38" i="6"/>
  <c r="J44" i="6"/>
  <c r="J66" i="6"/>
  <c r="J67" i="6"/>
  <c r="J24" i="6"/>
  <c r="J29" i="6" s="1"/>
  <c r="J30" i="6"/>
  <c r="J48" i="6" s="1"/>
  <c r="I67" i="6"/>
  <c r="I66" i="6"/>
  <c r="I30" i="6"/>
  <c r="I24" i="6"/>
  <c r="I29" i="6" s="1"/>
  <c r="I38" i="6"/>
  <c r="I43" i="6" s="1"/>
  <c r="I44" i="6"/>
  <c r="H24" i="6"/>
  <c r="H29" i="6" s="1"/>
  <c r="H30" i="6"/>
  <c r="H66" i="6"/>
  <c r="H67" i="6"/>
  <c r="H38" i="6"/>
  <c r="H44" i="6"/>
  <c r="G30" i="6"/>
  <c r="G24" i="6"/>
  <c r="G29" i="6" s="1"/>
  <c r="G38" i="6"/>
  <c r="G44" i="6"/>
  <c r="G66" i="6"/>
  <c r="G67" i="6"/>
  <c r="F30" i="6"/>
  <c r="F24" i="6"/>
  <c r="F29" i="6" s="1"/>
  <c r="F50" i="6" s="1"/>
  <c r="F38" i="6"/>
  <c r="F43" i="6" s="1"/>
  <c r="F44" i="6"/>
  <c r="F67" i="6"/>
  <c r="F66" i="6"/>
  <c r="E66" i="6"/>
  <c r="E67" i="6"/>
  <c r="E30" i="6"/>
  <c r="E24" i="6"/>
  <c r="E29" i="6" s="1"/>
  <c r="E38" i="6"/>
  <c r="E44" i="6"/>
  <c r="D24" i="6"/>
  <c r="D30" i="6"/>
  <c r="D38" i="6"/>
  <c r="D43" i="6" s="1"/>
  <c r="D44" i="6"/>
  <c r="D66" i="6"/>
  <c r="D67" i="6"/>
  <c r="C30" i="6"/>
  <c r="C24" i="6"/>
  <c r="C29" i="6" s="1"/>
  <c r="C38" i="6"/>
  <c r="C44" i="6"/>
  <c r="C66" i="6"/>
  <c r="C67" i="6"/>
  <c r="B66" i="6"/>
  <c r="B67" i="6"/>
  <c r="B38" i="6"/>
  <c r="B44" i="6"/>
  <c r="B30" i="6"/>
  <c r="B48" i="6" s="1"/>
  <c r="B24" i="6"/>
  <c r="B29" i="6" s="1"/>
  <c r="G73" i="5"/>
  <c r="G44" i="8" s="1"/>
  <c r="G71" i="5"/>
  <c r="E43" i="5"/>
  <c r="C38" i="5"/>
  <c r="F38" i="5"/>
  <c r="D43" i="5"/>
  <c r="G43" i="5"/>
  <c r="D38" i="5"/>
  <c r="E38" i="5"/>
  <c r="G38" i="5"/>
  <c r="C43" i="5"/>
  <c r="F43" i="5"/>
  <c r="E73" i="5"/>
  <c r="E44" i="8" s="1"/>
  <c r="E71" i="5"/>
  <c r="C71" i="5"/>
  <c r="C73" i="5"/>
  <c r="C44" i="8" s="1"/>
  <c r="D71" i="5"/>
  <c r="D73" i="5"/>
  <c r="D44" i="8" s="1"/>
  <c r="F71" i="5"/>
  <c r="F73" i="5"/>
  <c r="F44" i="8" s="1"/>
  <c r="E30" i="5"/>
  <c r="E32" i="5"/>
  <c r="E16" i="7" s="1"/>
  <c r="E7" i="7"/>
  <c r="E28" i="8"/>
  <c r="E59" i="5"/>
  <c r="E33" i="5"/>
  <c r="E34" i="5" s="1"/>
  <c r="C27" i="5"/>
  <c r="E27" i="5"/>
  <c r="G27" i="5"/>
  <c r="F27" i="5"/>
  <c r="D27" i="5"/>
  <c r="D30" i="5"/>
  <c r="D59" i="5"/>
  <c r="D33" i="5"/>
  <c r="D34" i="5" s="1"/>
  <c r="D7" i="7"/>
  <c r="D28" i="8"/>
  <c r="D32" i="5"/>
  <c r="D16" i="7" s="1"/>
  <c r="C32" i="5"/>
  <c r="C16" i="7" s="1"/>
  <c r="C30" i="5"/>
  <c r="C33" i="5"/>
  <c r="C34" i="5" s="1"/>
  <c r="C7" i="7"/>
  <c r="C28" i="8"/>
  <c r="C39" i="8" s="1"/>
  <c r="C59" i="5"/>
  <c r="G32" i="5"/>
  <c r="G16" i="7" s="1"/>
  <c r="G59" i="5"/>
  <c r="G7" i="7"/>
  <c r="G28" i="8"/>
  <c r="G30" i="5"/>
  <c r="G33" i="5"/>
  <c r="G34" i="5" s="1"/>
  <c r="F30" i="5"/>
  <c r="F59" i="5"/>
  <c r="F32" i="5"/>
  <c r="F16" i="7" s="1"/>
  <c r="F33" i="5"/>
  <c r="F34" i="5" s="1"/>
  <c r="F7" i="7"/>
  <c r="F28" i="8"/>
  <c r="F39" i="8" s="1"/>
  <c r="C63" i="5"/>
  <c r="C23" i="5"/>
  <c r="C51" i="5" s="1"/>
  <c r="F23" i="5"/>
  <c r="F51" i="5" s="1"/>
  <c r="F63" i="5"/>
  <c r="G63" i="5"/>
  <c r="G23" i="5"/>
  <c r="G51" i="5" s="1"/>
  <c r="D18" i="5"/>
  <c r="F18" i="5"/>
  <c r="C20" i="5"/>
  <c r="E20" i="5"/>
  <c r="G20" i="5"/>
  <c r="C45" i="5"/>
  <c r="C18" i="5"/>
  <c r="E18" i="5"/>
  <c r="G18" i="5"/>
  <c r="D20" i="5"/>
  <c r="F20" i="5"/>
  <c r="D63" i="5"/>
  <c r="D23" i="5"/>
  <c r="D51" i="5" s="1"/>
  <c r="E23" i="5"/>
  <c r="E51" i="5" s="1"/>
  <c r="E63" i="5"/>
  <c r="F9" i="18"/>
  <c r="F24" i="17"/>
  <c r="F49" i="16"/>
  <c r="E13" i="2"/>
  <c r="D13" i="2"/>
  <c r="G9" i="18"/>
  <c r="G24" i="17"/>
  <c r="G49" i="16"/>
  <c r="E9" i="18"/>
  <c r="E24" i="17"/>
  <c r="E49" i="16"/>
  <c r="D9" i="18"/>
  <c r="D24" i="17"/>
  <c r="D49" i="16"/>
  <c r="E18" i="2"/>
  <c r="D18" i="2"/>
  <c r="C33" i="15"/>
  <c r="C41" i="10"/>
  <c r="B33" i="15"/>
  <c r="B41" i="10"/>
  <c r="G38" i="8"/>
  <c r="F38" i="18"/>
  <c r="D38" i="18"/>
  <c r="F38" i="8"/>
  <c r="D38" i="8"/>
  <c r="G38" i="18"/>
  <c r="E38" i="8"/>
  <c r="B39" i="6"/>
  <c r="B43" i="6" s="1"/>
  <c r="B25" i="6"/>
  <c r="B49" i="6" s="1"/>
  <c r="K39" i="6"/>
  <c r="K43" i="6" s="1"/>
  <c r="K25" i="6"/>
  <c r="K49" i="6" s="1"/>
  <c r="N25" i="6"/>
  <c r="N39" i="6"/>
  <c r="N43" i="6" s="1"/>
  <c r="C25" i="6"/>
  <c r="C49" i="6" s="1"/>
  <c r="C39" i="6"/>
  <c r="C43" i="6" s="1"/>
  <c r="L25" i="6"/>
  <c r="L29" i="6" s="1"/>
  <c r="L50" i="6" s="1"/>
  <c r="L39" i="6"/>
  <c r="M39" i="6"/>
  <c r="M43" i="6" s="1"/>
  <c r="M25" i="6"/>
  <c r="M49" i="6" s="1"/>
  <c r="H25" i="6"/>
  <c r="H39" i="6"/>
  <c r="H43" i="6" s="1"/>
  <c r="E39" i="6"/>
  <c r="E43" i="6" s="1"/>
  <c r="E25" i="6"/>
  <c r="E49" i="6" s="1"/>
  <c r="J39" i="6"/>
  <c r="J43" i="6" s="1"/>
  <c r="J25" i="6"/>
  <c r="J49" i="6" s="1"/>
  <c r="I39" i="6"/>
  <c r="I25" i="6"/>
  <c r="I49" i="6" s="1"/>
  <c r="F25" i="6"/>
  <c r="F39" i="6"/>
  <c r="D25" i="6"/>
  <c r="D39" i="6"/>
  <c r="G39" i="6"/>
  <c r="G43" i="6" s="1"/>
  <c r="G25" i="6"/>
  <c r="G49" i="6" s="1"/>
  <c r="E11" i="2"/>
  <c r="D12" i="2"/>
  <c r="D11" i="2"/>
  <c r="E12" i="2"/>
  <c r="E16" i="2"/>
  <c r="E17" i="2"/>
  <c r="D16" i="2"/>
  <c r="D17" i="2"/>
  <c r="E17" i="17" l="1"/>
  <c r="E27" i="17"/>
  <c r="E31" i="17"/>
  <c r="E29" i="18"/>
  <c r="F17" i="17"/>
  <c r="F27" i="17"/>
  <c r="F31" i="17"/>
  <c r="F29" i="18"/>
  <c r="G17" i="17"/>
  <c r="G27" i="17"/>
  <c r="G31" i="17"/>
  <c r="G29" i="18"/>
  <c r="C46" i="16"/>
  <c r="C6" i="17"/>
  <c r="D46" i="16"/>
  <c r="D10" i="18" s="1"/>
  <c r="D11" i="18" s="1"/>
  <c r="D6" i="17"/>
  <c r="E46" i="16"/>
  <c r="E10" i="18" s="1"/>
  <c r="E11" i="18" s="1"/>
  <c r="E6" i="17"/>
  <c r="F46" i="16"/>
  <c r="F10" i="18" s="1"/>
  <c r="F11" i="18" s="1"/>
  <c r="F6" i="17"/>
  <c r="G46" i="16"/>
  <c r="G10" i="18" s="1"/>
  <c r="G11" i="18" s="1"/>
  <c r="G6" i="17"/>
  <c r="C49" i="16"/>
  <c r="C77" i="16"/>
  <c r="C78" i="16" s="1"/>
  <c r="C34" i="17" s="1"/>
  <c r="D77" i="16"/>
  <c r="D78" i="16" s="1"/>
  <c r="D34" i="17" s="1"/>
  <c r="E77" i="16"/>
  <c r="E78" i="16" s="1"/>
  <c r="E34" i="17" s="1"/>
  <c r="F77" i="16"/>
  <c r="F78" i="16" s="1"/>
  <c r="F34" i="17" s="1"/>
  <c r="G77" i="16"/>
  <c r="G78" i="16" s="1"/>
  <c r="G34" i="17" s="1"/>
  <c r="C24" i="17"/>
  <c r="C9" i="18"/>
  <c r="C11" i="18" s="1"/>
  <c r="C17" i="17"/>
  <c r="C27" i="17"/>
  <c r="C31" i="17"/>
  <c r="C29" i="18"/>
  <c r="C40" i="18" s="1"/>
  <c r="D17" i="17"/>
  <c r="D27" i="17"/>
  <c r="D31" i="17"/>
  <c r="D29" i="18"/>
  <c r="D40" i="18" s="1"/>
  <c r="F32" i="15"/>
  <c r="H31" i="1" s="1"/>
  <c r="E31" i="1"/>
  <c r="C68" i="6"/>
  <c r="C65" i="6"/>
  <c r="D68" i="6"/>
  <c r="D65" i="6"/>
  <c r="F68" i="6"/>
  <c r="F65" i="6"/>
  <c r="G68" i="6"/>
  <c r="G65" i="6"/>
  <c r="H68" i="6"/>
  <c r="H65" i="6"/>
  <c r="I68" i="6"/>
  <c r="I65" i="6"/>
  <c r="K68" i="6"/>
  <c r="K65" i="6"/>
  <c r="L68" i="6"/>
  <c r="L65" i="6"/>
  <c r="M68" i="6"/>
  <c r="M65" i="6"/>
  <c r="B68" i="6"/>
  <c r="B65" i="6"/>
  <c r="E65" i="6"/>
  <c r="E68" i="6"/>
  <c r="J65" i="6"/>
  <c r="J68" i="6"/>
  <c r="N68" i="6"/>
  <c r="N65" i="6"/>
  <c r="L51" i="6"/>
  <c r="L54" i="6"/>
  <c r="L55" i="6"/>
  <c r="L95" i="6" s="1"/>
  <c r="F51" i="6"/>
  <c r="F54" i="6"/>
  <c r="F55" i="6"/>
  <c r="F95" i="6" s="1"/>
  <c r="C31" i="7"/>
  <c r="C29" i="8"/>
  <c r="C40" i="8" s="1"/>
  <c r="C17" i="7"/>
  <c r="C27" i="7"/>
  <c r="F17" i="7"/>
  <c r="F27" i="7"/>
  <c r="F31" i="7"/>
  <c r="F29" i="8"/>
  <c r="G31" i="7"/>
  <c r="G29" i="8"/>
  <c r="G17" i="7"/>
  <c r="G27" i="7"/>
  <c r="D6" i="7"/>
  <c r="D46" i="5"/>
  <c r="D10" i="8" s="1"/>
  <c r="D11" i="8" s="1"/>
  <c r="F6" i="7"/>
  <c r="F46" i="5"/>
  <c r="F10" i="8" s="1"/>
  <c r="F11" i="8" s="1"/>
  <c r="D24" i="7"/>
  <c r="E24" i="7"/>
  <c r="F24" i="7"/>
  <c r="G24" i="7"/>
  <c r="C49" i="5"/>
  <c r="D77" i="5"/>
  <c r="D78" i="5" s="1"/>
  <c r="D34" i="7" s="1"/>
  <c r="G77" i="5"/>
  <c r="G78" i="5" s="1"/>
  <c r="G34" i="7" s="1"/>
  <c r="E77" i="5"/>
  <c r="E78" i="5" s="1"/>
  <c r="E34" i="7" s="1"/>
  <c r="C77" i="5"/>
  <c r="C78" i="5" s="1"/>
  <c r="C34" i="7" s="1"/>
  <c r="F77" i="5"/>
  <c r="F78" i="5" s="1"/>
  <c r="F34" i="7" s="1"/>
  <c r="C24" i="7"/>
  <c r="C9" i="8"/>
  <c r="C11" i="8" s="1"/>
  <c r="C46" i="5"/>
  <c r="C6" i="7"/>
  <c r="E46" i="5"/>
  <c r="E10" i="8" s="1"/>
  <c r="E11" i="8" s="1"/>
  <c r="E6" i="7"/>
  <c r="G46" i="5"/>
  <c r="G10" i="8" s="1"/>
  <c r="G11" i="8" s="1"/>
  <c r="G6" i="7"/>
  <c r="D31" i="7"/>
  <c r="D29" i="8"/>
  <c r="D17" i="7"/>
  <c r="D27" i="7"/>
  <c r="E17" i="7"/>
  <c r="E27" i="7"/>
  <c r="E31" i="7"/>
  <c r="E29" i="8"/>
  <c r="F34" i="18"/>
  <c r="E33" i="18"/>
  <c r="D26" i="18"/>
  <c r="D26" i="19" s="1"/>
  <c r="D15" i="19"/>
  <c r="G35" i="18"/>
  <c r="D32" i="18"/>
  <c r="D25" i="18"/>
  <c r="F33" i="15"/>
  <c r="H32" i="1" s="1"/>
  <c r="E32" i="1"/>
  <c r="E33" i="15"/>
  <c r="G32" i="1" s="1"/>
  <c r="C32" i="1"/>
  <c r="G39" i="18"/>
  <c r="F39" i="18"/>
  <c r="N48" i="6"/>
  <c r="L48" i="6"/>
  <c r="K48" i="6"/>
  <c r="G48" i="6"/>
  <c r="F48" i="6"/>
  <c r="D48" i="6"/>
  <c r="C48" i="6"/>
  <c r="G39" i="8"/>
  <c r="G25" i="17"/>
  <c r="L49" i="6"/>
  <c r="H49" i="6"/>
  <c r="F49" i="6"/>
  <c r="D39" i="8"/>
  <c r="H48" i="6"/>
  <c r="E48" i="6"/>
  <c r="E39" i="8"/>
  <c r="F25" i="17"/>
  <c r="I48" i="6"/>
  <c r="C71" i="16"/>
  <c r="D71" i="16"/>
  <c r="F71" i="16"/>
  <c r="E71" i="16"/>
  <c r="G71" i="16"/>
  <c r="D73" i="16"/>
  <c r="D44" i="18" s="1"/>
  <c r="E73" i="16"/>
  <c r="E44" i="18" s="1"/>
  <c r="F73" i="16"/>
  <c r="F44" i="18" s="1"/>
  <c r="G73" i="16"/>
  <c r="G44" i="18" s="1"/>
  <c r="C73" i="16"/>
  <c r="C44" i="18" s="1"/>
  <c r="N49" i="6"/>
  <c r="N29" i="6"/>
  <c r="N50" i="6" s="1"/>
  <c r="D49" i="6"/>
  <c r="D29" i="6"/>
  <c r="D50" i="6" s="1"/>
  <c r="K50" i="6"/>
  <c r="I50" i="6"/>
  <c r="H50" i="6"/>
  <c r="G50" i="6"/>
  <c r="E50" i="6"/>
  <c r="B50" i="6"/>
  <c r="M50" i="6"/>
  <c r="J50" i="6"/>
  <c r="C50" i="6"/>
  <c r="E25" i="17" l="1"/>
  <c r="D25" i="17"/>
  <c r="C25" i="17"/>
  <c r="F35" i="18"/>
  <c r="D33" i="18"/>
  <c r="D37" i="18" s="1"/>
  <c r="C25" i="18"/>
  <c r="C24" i="19" s="1"/>
  <c r="C13" i="18"/>
  <c r="C7" i="19" s="1"/>
  <c r="C11" i="19" s="1"/>
  <c r="E34" i="18"/>
  <c r="C26" i="18"/>
  <c r="G36" i="18"/>
  <c r="C32" i="18"/>
  <c r="C37" i="18" s="1"/>
  <c r="C17" i="18"/>
  <c r="C18" i="18" s="1"/>
  <c r="C29" i="10"/>
  <c r="G61" i="16"/>
  <c r="G62" i="16" s="1"/>
  <c r="F61" i="16"/>
  <c r="F62" i="16" s="1"/>
  <c r="E61" i="16"/>
  <c r="E62" i="16" s="1"/>
  <c r="D61" i="16"/>
  <c r="D62" i="16" s="1"/>
  <c r="C61" i="16"/>
  <c r="C62" i="16" s="1"/>
  <c r="G61" i="5"/>
  <c r="G62" i="5" s="1"/>
  <c r="E61" i="5"/>
  <c r="E62" i="5" s="1"/>
  <c r="D61" i="5"/>
  <c r="D62" i="5" s="1"/>
  <c r="F61" i="5"/>
  <c r="F62" i="5" s="1"/>
  <c r="C61" i="5"/>
  <c r="C62" i="5" s="1"/>
  <c r="B29" i="10"/>
  <c r="L57" i="6"/>
  <c r="L71" i="6" s="1"/>
  <c r="L59" i="6"/>
  <c r="L60" i="6"/>
  <c r="L72" i="6" s="1"/>
  <c r="L56" i="6"/>
  <c r="L70" i="6" s="1"/>
  <c r="L58" i="6"/>
  <c r="F57" i="6"/>
  <c r="F71" i="6" s="1"/>
  <c r="F58" i="6"/>
  <c r="F56" i="6"/>
  <c r="F70" i="6" s="1"/>
  <c r="F59" i="6"/>
  <c r="F60" i="6"/>
  <c r="F72" i="6" s="1"/>
  <c r="D32" i="8"/>
  <c r="E33" i="8"/>
  <c r="D25" i="8"/>
  <c r="D24" i="9" s="1"/>
  <c r="G35" i="8"/>
  <c r="F34" i="8"/>
  <c r="D26" i="8"/>
  <c r="D26" i="9" s="1"/>
  <c r="D15" i="9"/>
  <c r="D13" i="8"/>
  <c r="D7" i="9" s="1"/>
  <c r="D17" i="8"/>
  <c r="G33" i="8"/>
  <c r="F32" i="8"/>
  <c r="F26" i="8"/>
  <c r="F26" i="9" s="1"/>
  <c r="F25" i="8"/>
  <c r="F24" i="9" s="1"/>
  <c r="F15" i="9"/>
  <c r="F13" i="8"/>
  <c r="F7" i="9" s="1"/>
  <c r="F17" i="8"/>
  <c r="E25" i="7"/>
  <c r="F25" i="7"/>
  <c r="G25" i="7"/>
  <c r="D25" i="7"/>
  <c r="C25" i="7"/>
  <c r="E34" i="8"/>
  <c r="C25" i="8"/>
  <c r="C24" i="9" s="1"/>
  <c r="F35" i="8"/>
  <c r="C26" i="8"/>
  <c r="G36" i="8"/>
  <c r="D33" i="8"/>
  <c r="C32" i="8"/>
  <c r="C37" i="8" s="1"/>
  <c r="C13" i="8"/>
  <c r="C7" i="9" s="1"/>
  <c r="C17" i="8"/>
  <c r="C18" i="8" s="1"/>
  <c r="E25" i="8"/>
  <c r="E24" i="9" s="1"/>
  <c r="G34" i="8"/>
  <c r="E32" i="8"/>
  <c r="E37" i="8" s="1"/>
  <c r="E26" i="8"/>
  <c r="E26" i="9" s="1"/>
  <c r="E15" i="9"/>
  <c r="E13" i="8"/>
  <c r="E7" i="9" s="1"/>
  <c r="F33" i="8"/>
  <c r="E17" i="8"/>
  <c r="E18" i="8" s="1"/>
  <c r="G26" i="8"/>
  <c r="G25" i="8"/>
  <c r="G24" i="9" s="1"/>
  <c r="G13" i="8"/>
  <c r="G7" i="9" s="1"/>
  <c r="G32" i="8"/>
  <c r="G37" i="8" s="1"/>
  <c r="G17" i="8"/>
  <c r="G18" i="8" s="1"/>
  <c r="N55" i="6"/>
  <c r="N95" i="6" s="1"/>
  <c r="N54" i="6"/>
  <c r="N51" i="6"/>
  <c r="D55" i="6"/>
  <c r="D95" i="6" s="1"/>
  <c r="D54" i="6"/>
  <c r="D51" i="6"/>
  <c r="K55" i="6"/>
  <c r="K95" i="6" s="1"/>
  <c r="K54" i="6"/>
  <c r="K51" i="6"/>
  <c r="I55" i="6"/>
  <c r="I95" i="6" s="1"/>
  <c r="I54" i="6"/>
  <c r="I51" i="6"/>
  <c r="H54" i="6"/>
  <c r="H55" i="6"/>
  <c r="H95" i="6" s="1"/>
  <c r="H51" i="6"/>
  <c r="G55" i="6"/>
  <c r="G95" i="6" s="1"/>
  <c r="G54" i="6"/>
  <c r="G51" i="6"/>
  <c r="E54" i="6"/>
  <c r="E51" i="6"/>
  <c r="E55" i="6"/>
  <c r="E95" i="6" s="1"/>
  <c r="F40" i="5"/>
  <c r="E40" i="5"/>
  <c r="C40" i="5"/>
  <c r="G40" i="5"/>
  <c r="D40" i="5"/>
  <c r="B55" i="6"/>
  <c r="B95" i="6" s="1"/>
  <c r="B54" i="6"/>
  <c r="B51" i="6"/>
  <c r="M55" i="6"/>
  <c r="M95" i="6" s="1"/>
  <c r="M54" i="6"/>
  <c r="M51" i="6"/>
  <c r="J55" i="6"/>
  <c r="J95" i="6" s="1"/>
  <c r="J54" i="6"/>
  <c r="J51" i="6"/>
  <c r="G40" i="16"/>
  <c r="F40" i="16"/>
  <c r="E40" i="16"/>
  <c r="D40" i="16"/>
  <c r="C40" i="16"/>
  <c r="C55" i="6"/>
  <c r="C95" i="6" s="1"/>
  <c r="C54" i="6"/>
  <c r="C51" i="6"/>
  <c r="F40" i="8"/>
  <c r="G40" i="8"/>
  <c r="D40" i="8"/>
  <c r="E40" i="8"/>
  <c r="F40" i="18"/>
  <c r="G40" i="18"/>
  <c r="E40" i="18"/>
  <c r="G34" i="18"/>
  <c r="F33" i="18"/>
  <c r="E26" i="18"/>
  <c r="E26" i="19" s="1"/>
  <c r="E25" i="18"/>
  <c r="E32" i="18"/>
  <c r="E37" i="18" s="1"/>
  <c r="E15" i="19"/>
  <c r="G33" i="18"/>
  <c r="F26" i="18"/>
  <c r="F26" i="19" s="1"/>
  <c r="F25" i="18"/>
  <c r="F32" i="18"/>
  <c r="F37" i="18" s="1"/>
  <c r="F15" i="19"/>
  <c r="F17" i="18"/>
  <c r="F18" i="18" s="1"/>
  <c r="G32" i="18"/>
  <c r="G37" i="18" s="1"/>
  <c r="G25" i="18"/>
  <c r="G24" i="19" s="1"/>
  <c r="G13" i="18"/>
  <c r="G7" i="19" s="1"/>
  <c r="G26" i="18"/>
  <c r="G17" i="18"/>
  <c r="G18" i="18" s="1"/>
  <c r="D17" i="18"/>
  <c r="D18" i="18" s="1"/>
  <c r="E17" i="18"/>
  <c r="E18" i="18" s="1"/>
  <c r="D24" i="19"/>
  <c r="D13" i="18"/>
  <c r="D7" i="19" s="1"/>
  <c r="C7" i="21" l="1"/>
  <c r="L93" i="6"/>
  <c r="L94" i="6"/>
  <c r="L73" i="6"/>
  <c r="L75" i="6"/>
  <c r="L89" i="6"/>
  <c r="L91" i="6"/>
  <c r="L92" i="6"/>
  <c r="F91" i="6"/>
  <c r="F92" i="6"/>
  <c r="F73" i="6"/>
  <c r="F75" i="6"/>
  <c r="F89" i="6"/>
  <c r="F93" i="6"/>
  <c r="F94" i="6"/>
  <c r="F5" i="13"/>
  <c r="F7" i="13"/>
  <c r="F4" i="13"/>
  <c r="C7" i="12"/>
  <c r="F6" i="13"/>
  <c r="E7" i="12"/>
  <c r="F8" i="13"/>
  <c r="G7" i="12"/>
  <c r="N56" i="6"/>
  <c r="N70" i="6" s="1"/>
  <c r="N57" i="6"/>
  <c r="N71" i="6" s="1"/>
  <c r="N59" i="6"/>
  <c r="N60" i="6"/>
  <c r="N72" i="6" s="1"/>
  <c r="N58" i="6"/>
  <c r="D56" i="6"/>
  <c r="D70" i="6" s="1"/>
  <c r="D57" i="6"/>
  <c r="D71" i="6" s="1"/>
  <c r="D58" i="6"/>
  <c r="D59" i="6"/>
  <c r="D60" i="6"/>
  <c r="D72" i="6" s="1"/>
  <c r="K56" i="6"/>
  <c r="K70" i="6" s="1"/>
  <c r="K57" i="6"/>
  <c r="K71" i="6" s="1"/>
  <c r="K58" i="6"/>
  <c r="K60" i="6"/>
  <c r="K72" i="6" s="1"/>
  <c r="K59" i="6"/>
  <c r="I57" i="6"/>
  <c r="I71" i="6" s="1"/>
  <c r="I58" i="6"/>
  <c r="I60" i="6"/>
  <c r="I72" i="6" s="1"/>
  <c r="I56" i="6"/>
  <c r="I70" i="6" s="1"/>
  <c r="I59" i="6"/>
  <c r="H56" i="6"/>
  <c r="H70" i="6" s="1"/>
  <c r="H58" i="6"/>
  <c r="H59" i="6"/>
  <c r="H60" i="6"/>
  <c r="H72" i="6" s="1"/>
  <c r="H57" i="6"/>
  <c r="H71" i="6" s="1"/>
  <c r="G57" i="6"/>
  <c r="G71" i="6" s="1"/>
  <c r="G58" i="6"/>
  <c r="G59" i="6"/>
  <c r="G56" i="6"/>
  <c r="G70" i="6" s="1"/>
  <c r="G60" i="6"/>
  <c r="G72" i="6" s="1"/>
  <c r="E56" i="6"/>
  <c r="E70" i="6" s="1"/>
  <c r="E59" i="6"/>
  <c r="E57" i="6"/>
  <c r="E71" i="6" s="1"/>
  <c r="E58" i="6"/>
  <c r="E60" i="6"/>
  <c r="E72" i="6" s="1"/>
  <c r="C41" i="5"/>
  <c r="G41" i="5"/>
  <c r="D41" i="5"/>
  <c r="F41" i="5"/>
  <c r="E41" i="5"/>
  <c r="B57" i="6"/>
  <c r="B71" i="6" s="1"/>
  <c r="B56" i="6"/>
  <c r="B58" i="6"/>
  <c r="B59" i="6"/>
  <c r="B60" i="6"/>
  <c r="B72" i="6" s="1"/>
  <c r="M60" i="6"/>
  <c r="M72" i="6" s="1"/>
  <c r="M56" i="6"/>
  <c r="M70" i="6" s="1"/>
  <c r="M57" i="6"/>
  <c r="M71" i="6" s="1"/>
  <c r="M58" i="6"/>
  <c r="M59" i="6"/>
  <c r="J60" i="6"/>
  <c r="J72" i="6" s="1"/>
  <c r="J56" i="6"/>
  <c r="J70" i="6" s="1"/>
  <c r="J57" i="6"/>
  <c r="J71" i="6" s="1"/>
  <c r="J58" i="6"/>
  <c r="J59" i="6"/>
  <c r="G41" i="16"/>
  <c r="D41" i="16"/>
  <c r="C41" i="16"/>
  <c r="F41" i="16"/>
  <c r="E41" i="16"/>
  <c r="C56" i="6"/>
  <c r="C59" i="6"/>
  <c r="C60" i="6"/>
  <c r="C72" i="6" s="1"/>
  <c r="C57" i="6"/>
  <c r="C71" i="6" s="1"/>
  <c r="C58" i="6"/>
  <c r="F7" i="21"/>
  <c r="G7" i="21"/>
  <c r="D7" i="21"/>
  <c r="E7" i="21"/>
  <c r="F37" i="8"/>
  <c r="F18" i="8" s="1"/>
  <c r="D37" i="8"/>
  <c r="D18" i="8" s="1"/>
  <c r="C26" i="19"/>
  <c r="C15" i="19"/>
  <c r="C26" i="9"/>
  <c r="C15" i="9"/>
  <c r="G26" i="9"/>
  <c r="G15" i="9"/>
  <c r="E24" i="19"/>
  <c r="E13" i="18"/>
  <c r="E7" i="19" s="1"/>
  <c r="F24" i="19"/>
  <c r="F13" i="18"/>
  <c r="F7" i="19" s="1"/>
  <c r="G26" i="19"/>
  <c r="G15" i="19"/>
  <c r="L76" i="6" l="1"/>
  <c r="L77" i="6"/>
  <c r="L78" i="6"/>
  <c r="F76" i="6"/>
  <c r="F88" i="6" s="1"/>
  <c r="F77" i="6"/>
  <c r="F78" i="6"/>
  <c r="F79" i="6"/>
  <c r="F80" i="6"/>
  <c r="F81" i="6"/>
  <c r="F85" i="6" s="1"/>
  <c r="F86" i="6" s="1"/>
  <c r="F87" i="6" s="1"/>
  <c r="N75" i="6"/>
  <c r="N89" i="6"/>
  <c r="N73" i="6"/>
  <c r="N93" i="6"/>
  <c r="N94" i="6"/>
  <c r="N91" i="6"/>
  <c r="N92" i="6"/>
  <c r="D75" i="6"/>
  <c r="D89" i="6"/>
  <c r="D73" i="6"/>
  <c r="D91" i="6"/>
  <c r="D92" i="6"/>
  <c r="D93" i="6"/>
  <c r="D94" i="6"/>
  <c r="K73" i="6"/>
  <c r="K89" i="6"/>
  <c r="K75" i="6"/>
  <c r="K91" i="6"/>
  <c r="K92" i="6"/>
  <c r="K93" i="6"/>
  <c r="K94" i="6"/>
  <c r="I91" i="6"/>
  <c r="I92" i="6"/>
  <c r="I73" i="6"/>
  <c r="I75" i="6"/>
  <c r="I89" i="6"/>
  <c r="I93" i="6"/>
  <c r="I94" i="6"/>
  <c r="H73" i="6"/>
  <c r="H75" i="6"/>
  <c r="H89" i="6"/>
  <c r="H91" i="6"/>
  <c r="H92" i="6"/>
  <c r="H93" i="6"/>
  <c r="H94" i="6"/>
  <c r="G91" i="6"/>
  <c r="G92" i="6"/>
  <c r="G93" i="6"/>
  <c r="G94" i="6"/>
  <c r="G73" i="6"/>
  <c r="G75" i="6"/>
  <c r="G89" i="6"/>
  <c r="E73" i="6"/>
  <c r="E75" i="6"/>
  <c r="E89" i="6"/>
  <c r="E93" i="6"/>
  <c r="E94" i="6"/>
  <c r="E91" i="6"/>
  <c r="E92" i="6"/>
  <c r="B70" i="6"/>
  <c r="B31" i="10"/>
  <c r="B91" i="6"/>
  <c r="B92" i="6"/>
  <c r="B93" i="6"/>
  <c r="B94" i="6"/>
  <c r="M73" i="6"/>
  <c r="M75" i="6"/>
  <c r="M89" i="6"/>
  <c r="M91" i="6"/>
  <c r="M92" i="6"/>
  <c r="M93" i="6"/>
  <c r="M94" i="6"/>
  <c r="J73" i="6"/>
  <c r="J75" i="6"/>
  <c r="J89" i="6"/>
  <c r="J91" i="6"/>
  <c r="J92" i="6"/>
  <c r="J93" i="6"/>
  <c r="J94" i="6"/>
  <c r="C70" i="6"/>
  <c r="C31" i="10"/>
  <c r="C93" i="6"/>
  <c r="C94" i="6"/>
  <c r="C91" i="6"/>
  <c r="C92" i="6"/>
  <c r="F7" i="12"/>
  <c r="D7" i="12"/>
  <c r="H7" i="12" s="1"/>
  <c r="H7" i="21"/>
  <c r="N76" i="6" l="1"/>
  <c r="N77" i="6"/>
  <c r="D76" i="6"/>
  <c r="D77" i="6"/>
  <c r="D78" i="6"/>
  <c r="K76" i="6"/>
  <c r="K77" i="6"/>
  <c r="I76" i="6"/>
  <c r="H76" i="6"/>
  <c r="H77" i="6"/>
  <c r="H78" i="6"/>
  <c r="G78" i="6"/>
  <c r="G76" i="6"/>
  <c r="G77" i="6"/>
  <c r="E76" i="6"/>
  <c r="E77" i="6"/>
  <c r="B73" i="6"/>
  <c r="B75" i="6"/>
  <c r="B89" i="6"/>
  <c r="B32" i="10"/>
  <c r="M76" i="6"/>
  <c r="M77" i="6"/>
  <c r="J76" i="6"/>
  <c r="J77" i="6"/>
  <c r="C73" i="6"/>
  <c r="C75" i="6"/>
  <c r="C89" i="6"/>
  <c r="C32" i="10"/>
  <c r="L79" i="6"/>
  <c r="L88" i="6" s="1"/>
  <c r="L80" i="6"/>
  <c r="L81" i="6"/>
  <c r="L85" i="6" s="1"/>
  <c r="L86" i="6" s="1"/>
  <c r="G66" i="5" l="1"/>
  <c r="C66" i="5"/>
  <c r="F66" i="5"/>
  <c r="E66" i="5"/>
  <c r="D66" i="5"/>
  <c r="B76" i="6"/>
  <c r="B77" i="6"/>
  <c r="B78" i="6"/>
  <c r="B79" i="6"/>
  <c r="B80" i="6" s="1"/>
  <c r="B33" i="10"/>
  <c r="B34" i="10" s="1"/>
  <c r="B54" i="10"/>
  <c r="C66" i="16"/>
  <c r="F66" i="16"/>
  <c r="D66" i="16"/>
  <c r="E66" i="16"/>
  <c r="G66" i="16"/>
  <c r="C76" i="6"/>
  <c r="C33" i="10"/>
  <c r="C34" i="10" s="1"/>
  <c r="C54" i="10"/>
  <c r="B37" i="10"/>
  <c r="L87" i="6"/>
  <c r="N78" i="6"/>
  <c r="N79" i="6" s="1"/>
  <c r="D79" i="6"/>
  <c r="D80" i="6" s="1"/>
  <c r="K78" i="6"/>
  <c r="I77" i="6"/>
  <c r="I78" i="6"/>
  <c r="I79" i="6"/>
  <c r="H79" i="6"/>
  <c r="H80" i="6"/>
  <c r="G79" i="6"/>
  <c r="G80" i="6"/>
  <c r="E78" i="6"/>
  <c r="M78" i="6"/>
  <c r="J78" i="6"/>
  <c r="G67" i="5" l="1"/>
  <c r="G68" i="5"/>
  <c r="C67" i="5"/>
  <c r="C69" i="5" s="1"/>
  <c r="C68" i="5"/>
  <c r="C42" i="5" s="1"/>
  <c r="F68" i="5"/>
  <c r="F67" i="5"/>
  <c r="E67" i="5"/>
  <c r="E68" i="5"/>
  <c r="D67" i="5"/>
  <c r="D69" i="5" s="1"/>
  <c r="D68" i="5"/>
  <c r="D42" i="5" s="1"/>
  <c r="C68" i="16"/>
  <c r="C67" i="16"/>
  <c r="C69" i="16" s="1"/>
  <c r="F68" i="16"/>
  <c r="F67" i="16"/>
  <c r="D67" i="16"/>
  <c r="D69" i="16" s="1"/>
  <c r="D68" i="16"/>
  <c r="D42" i="16" s="1"/>
  <c r="E68" i="16"/>
  <c r="E67" i="16"/>
  <c r="E69" i="16" s="1"/>
  <c r="G67" i="16"/>
  <c r="G69" i="16" s="1"/>
  <c r="G68" i="16"/>
  <c r="N80" i="6"/>
  <c r="N81" i="6"/>
  <c r="D81" i="6"/>
  <c r="D88" i="6" s="1"/>
  <c r="D85" i="6"/>
  <c r="D86" i="6" s="1"/>
  <c r="D87" i="6" s="1"/>
  <c r="H81" i="6"/>
  <c r="E79" i="6"/>
  <c r="B81" i="6"/>
  <c r="C77" i="6"/>
  <c r="C78" i="6"/>
  <c r="C79" i="6"/>
  <c r="K79" i="6"/>
  <c r="K80" i="6"/>
  <c r="K81" i="6"/>
  <c r="K85" i="6"/>
  <c r="K86" i="6" s="1"/>
  <c r="K87" i="6" s="1"/>
  <c r="I80" i="6"/>
  <c r="I85" i="6" s="1"/>
  <c r="I86" i="6" s="1"/>
  <c r="I87" i="6" s="1"/>
  <c r="I81" i="6"/>
  <c r="I88" i="6" s="1"/>
  <c r="G81" i="6"/>
  <c r="G88" i="6" s="1"/>
  <c r="G85" i="6"/>
  <c r="G86" i="6" s="1"/>
  <c r="G87" i="6" s="1"/>
  <c r="M79" i="6"/>
  <c r="J79" i="6"/>
  <c r="C72" i="5" l="1"/>
  <c r="C43" i="8" s="1"/>
  <c r="C45" i="8" s="1"/>
  <c r="C46" i="8" s="1"/>
  <c r="C70" i="5"/>
  <c r="C8" i="7" s="1"/>
  <c r="C50" i="5"/>
  <c r="C47" i="5"/>
  <c r="C48" i="5" s="1"/>
  <c r="D72" i="5"/>
  <c r="D43" i="8" s="1"/>
  <c r="D45" i="8" s="1"/>
  <c r="D46" i="8" s="1"/>
  <c r="D70" i="5"/>
  <c r="D8" i="7" s="1"/>
  <c r="D50" i="5"/>
  <c r="D47" i="5"/>
  <c r="D48" i="5" s="1"/>
  <c r="C72" i="16"/>
  <c r="C43" i="18" s="1"/>
  <c r="C45" i="18" s="1"/>
  <c r="C46" i="18" s="1"/>
  <c r="C70" i="16"/>
  <c r="C8" i="17" s="1"/>
  <c r="D72" i="16"/>
  <c r="D43" i="18" s="1"/>
  <c r="D45" i="18" s="1"/>
  <c r="D46" i="18" s="1"/>
  <c r="D70" i="16"/>
  <c r="D8" i="17" s="1"/>
  <c r="D50" i="16"/>
  <c r="D47" i="16"/>
  <c r="D48" i="16" s="1"/>
  <c r="E70" i="16"/>
  <c r="E8" i="17" s="1"/>
  <c r="E72" i="16"/>
  <c r="E43" i="18" s="1"/>
  <c r="E45" i="18" s="1"/>
  <c r="E46" i="18" s="1"/>
  <c r="G70" i="16"/>
  <c r="G8" i="17" s="1"/>
  <c r="G72" i="16"/>
  <c r="G43" i="18" s="1"/>
  <c r="G45" i="18" s="1"/>
  <c r="C80" i="6"/>
  <c r="K88" i="6"/>
  <c r="E69" i="5"/>
  <c r="C42" i="16"/>
  <c r="E42" i="16"/>
  <c r="G42" i="16"/>
  <c r="G69" i="5"/>
  <c r="F69" i="5"/>
  <c r="F69" i="16"/>
  <c r="N88" i="6"/>
  <c r="N85" i="6"/>
  <c r="N86" i="6" s="1"/>
  <c r="H88" i="6"/>
  <c r="H85" i="6"/>
  <c r="H86" i="6" s="1"/>
  <c r="H87" i="6" s="1"/>
  <c r="E80" i="6"/>
  <c r="E81" i="6"/>
  <c r="B88" i="6"/>
  <c r="B57" i="10" s="1"/>
  <c r="B85" i="6"/>
  <c r="M80" i="6"/>
  <c r="M81" i="6" s="1"/>
  <c r="J80" i="6"/>
  <c r="J81" i="6"/>
  <c r="J88" i="6" s="1"/>
  <c r="D6" i="3" l="1"/>
  <c r="B31" i="15"/>
  <c r="C26" i="7"/>
  <c r="C15" i="7"/>
  <c r="C12" i="8"/>
  <c r="C19" i="8" s="1"/>
  <c r="C20" i="8" s="1"/>
  <c r="C8" i="12" s="1"/>
  <c r="C9" i="7"/>
  <c r="C10" i="7" s="1"/>
  <c r="D26" i="7"/>
  <c r="D15" i="7"/>
  <c r="D12" i="8"/>
  <c r="D19" i="8" s="1"/>
  <c r="D20" i="8" s="1"/>
  <c r="D8" i="12" s="1"/>
  <c r="D9" i="7"/>
  <c r="D10" i="7" s="1"/>
  <c r="D15" i="17"/>
  <c r="D12" i="18"/>
  <c r="D9" i="17"/>
  <c r="D10" i="17" s="1"/>
  <c r="E72" i="5"/>
  <c r="E43" i="8" s="1"/>
  <c r="E45" i="8" s="1"/>
  <c r="E46" i="8" s="1"/>
  <c r="E70" i="5"/>
  <c r="E8" i="7" s="1"/>
  <c r="E42" i="5"/>
  <c r="C47" i="16"/>
  <c r="C48" i="16" s="1"/>
  <c r="C50" i="16"/>
  <c r="D26" i="17" s="1"/>
  <c r="E47" i="16"/>
  <c r="E48" i="16" s="1"/>
  <c r="E50" i="16"/>
  <c r="G47" i="16"/>
  <c r="G48" i="16" s="1"/>
  <c r="G50" i="16"/>
  <c r="G72" i="5"/>
  <c r="G43" i="8" s="1"/>
  <c r="G45" i="8" s="1"/>
  <c r="G70" i="5"/>
  <c r="G8" i="7" s="1"/>
  <c r="G42" i="5"/>
  <c r="F42" i="5"/>
  <c r="F72" i="5"/>
  <c r="F43" i="8" s="1"/>
  <c r="F45" i="8" s="1"/>
  <c r="F46" i="8" s="1"/>
  <c r="F70" i="5"/>
  <c r="F8" i="7" s="1"/>
  <c r="F42" i="16"/>
  <c r="F72" i="16"/>
  <c r="F43" i="18" s="1"/>
  <c r="F45" i="18" s="1"/>
  <c r="F70" i="16"/>
  <c r="F8" i="17" s="1"/>
  <c r="N87" i="6"/>
  <c r="C37" i="10"/>
  <c r="G7" i="2"/>
  <c r="F7" i="2"/>
  <c r="B86" i="6"/>
  <c r="B55" i="10"/>
  <c r="J85" i="6"/>
  <c r="J86" i="6" s="1"/>
  <c r="J87" i="6" s="1"/>
  <c r="C81" i="6"/>
  <c r="C88" i="6" s="1"/>
  <c r="C57" i="10" s="1"/>
  <c r="C85" i="6"/>
  <c r="E88" i="6"/>
  <c r="E85" i="6"/>
  <c r="E86" i="6" s="1"/>
  <c r="E87" i="6" s="1"/>
  <c r="M85" i="6"/>
  <c r="M86" i="6" s="1"/>
  <c r="M87" i="6" s="1"/>
  <c r="M88" i="6"/>
  <c r="E31" i="15" l="1"/>
  <c r="G30" i="1" s="1"/>
  <c r="C30" i="1"/>
  <c r="B4" i="13"/>
  <c r="C10" i="12"/>
  <c r="C12" i="12" s="1"/>
  <c r="C25" i="9"/>
  <c r="C17" i="9"/>
  <c r="C28" i="9" s="1"/>
  <c r="C10" i="9"/>
  <c r="C21" i="7"/>
  <c r="C23" i="7" s="1"/>
  <c r="C6" i="12" s="1"/>
  <c r="C12" i="7"/>
  <c r="B5" i="13"/>
  <c r="D10" i="12"/>
  <c r="D12" i="12" s="1"/>
  <c r="D25" i="9"/>
  <c r="D17" i="9"/>
  <c r="D10" i="9"/>
  <c r="D21" i="7"/>
  <c r="D23" i="7" s="1"/>
  <c r="D6" i="12" s="1"/>
  <c r="D13" i="12" s="1"/>
  <c r="D12" i="7"/>
  <c r="D25" i="19"/>
  <c r="D17" i="19"/>
  <c r="D10" i="19"/>
  <c r="D12" i="17"/>
  <c r="E47" i="5"/>
  <c r="E48" i="5" s="1"/>
  <c r="E50" i="5"/>
  <c r="C12" i="18"/>
  <c r="C9" i="17"/>
  <c r="C10" i="17" s="1"/>
  <c r="D21" i="17" s="1"/>
  <c r="D23" i="17" s="1"/>
  <c r="D6" i="21" s="1"/>
  <c r="D13" i="21" s="1"/>
  <c r="C31" i="15"/>
  <c r="C26" i="17"/>
  <c r="C15" i="17"/>
  <c r="E12" i="18"/>
  <c r="E19" i="18" s="1"/>
  <c r="E20" i="18" s="1"/>
  <c r="E8" i="21" s="1"/>
  <c r="E9" i="17"/>
  <c r="E10" i="17" s="1"/>
  <c r="E26" i="17"/>
  <c r="E15" i="17"/>
  <c r="G12" i="18"/>
  <c r="G9" i="17"/>
  <c r="G10" i="17" s="1"/>
  <c r="G15" i="17"/>
  <c r="G47" i="5"/>
  <c r="G48" i="5" s="1"/>
  <c r="G50" i="5"/>
  <c r="F47" i="5"/>
  <c r="F48" i="5" s="1"/>
  <c r="F50" i="5"/>
  <c r="F47" i="16"/>
  <c r="F48" i="16" s="1"/>
  <c r="F50" i="16"/>
  <c r="G26" i="17" s="1"/>
  <c r="G46" i="18"/>
  <c r="F46" i="18"/>
  <c r="B87" i="6"/>
  <c r="B35" i="10"/>
  <c r="B36" i="10" s="1"/>
  <c r="F12" i="2"/>
  <c r="F11" i="2"/>
  <c r="G12" i="2"/>
  <c r="G11" i="2"/>
  <c r="B56" i="10"/>
  <c r="G13" i="2"/>
  <c r="F13" i="2"/>
  <c r="G15" i="2"/>
  <c r="F15" i="2"/>
  <c r="C86" i="6"/>
  <c r="C55" i="10"/>
  <c r="G46" i="8"/>
  <c r="C11" i="12" l="1"/>
  <c r="C18" i="12"/>
  <c r="C20" i="12"/>
  <c r="C26" i="12"/>
  <c r="E26" i="12" s="1"/>
  <c r="C37" i="12"/>
  <c r="G4" i="13"/>
  <c r="D10" i="3"/>
  <c r="C27" i="9"/>
  <c r="B29" i="15"/>
  <c r="C13" i="12"/>
  <c r="C6" i="9"/>
  <c r="C14" i="9"/>
  <c r="C16" i="9" s="1"/>
  <c r="C27" i="12"/>
  <c r="E27" i="12" s="1"/>
  <c r="G5" i="13"/>
  <c r="B35" i="15"/>
  <c r="D6" i="9"/>
  <c r="D14" i="9"/>
  <c r="D16" i="9" s="1"/>
  <c r="D6" i="19"/>
  <c r="D14" i="19"/>
  <c r="D16" i="19" s="1"/>
  <c r="E12" i="8"/>
  <c r="E19" i="8" s="1"/>
  <c r="E20" i="8" s="1"/>
  <c r="E8" i="12" s="1"/>
  <c r="E9" i="7"/>
  <c r="E10" i="7" s="1"/>
  <c r="E26" i="7"/>
  <c r="E15" i="7"/>
  <c r="D19" i="18"/>
  <c r="D20" i="18" s="1"/>
  <c r="D8" i="21" s="1"/>
  <c r="C19" i="18"/>
  <c r="C20" i="18" s="1"/>
  <c r="C8" i="21" s="1"/>
  <c r="C25" i="19"/>
  <c r="C17" i="19"/>
  <c r="C28" i="19" s="1"/>
  <c r="C10" i="19"/>
  <c r="C21" i="17"/>
  <c r="C23" i="17" s="1"/>
  <c r="C6" i="21" s="1"/>
  <c r="C12" i="17"/>
  <c r="F31" i="15"/>
  <c r="H30" i="1" s="1"/>
  <c r="E30" i="1"/>
  <c r="E10" i="21"/>
  <c r="E12" i="21" s="1"/>
  <c r="E12" i="17"/>
  <c r="E21" i="17"/>
  <c r="E23" i="17" s="1"/>
  <c r="E6" i="21" s="1"/>
  <c r="E13" i="21" s="1"/>
  <c r="E10" i="19"/>
  <c r="E17" i="19"/>
  <c r="E25" i="19"/>
  <c r="G12" i="17"/>
  <c r="G10" i="19"/>
  <c r="G17" i="19"/>
  <c r="G25" i="19"/>
  <c r="G12" i="8"/>
  <c r="G9" i="7"/>
  <c r="G10" i="7" s="1"/>
  <c r="G26" i="7"/>
  <c r="G15" i="7"/>
  <c r="F12" i="8"/>
  <c r="F9" i="7"/>
  <c r="F10" i="7" s="1"/>
  <c r="F26" i="7"/>
  <c r="F15" i="7"/>
  <c r="F12" i="18"/>
  <c r="F9" i="17"/>
  <c r="F10" i="17" s="1"/>
  <c r="G21" i="17" s="1"/>
  <c r="G23" i="17" s="1"/>
  <c r="G6" i="21" s="1"/>
  <c r="G13" i="21" s="1"/>
  <c r="F26" i="17"/>
  <c r="F15" i="17"/>
  <c r="B42" i="10"/>
  <c r="B34" i="15"/>
  <c r="C87" i="6"/>
  <c r="C35" i="10"/>
  <c r="C36" i="10" s="1"/>
  <c r="F17" i="2"/>
  <c r="F16" i="2"/>
  <c r="G17" i="2"/>
  <c r="G16" i="2"/>
  <c r="C56" i="10"/>
  <c r="G18" i="2"/>
  <c r="F18" i="2"/>
  <c r="D11" i="12" l="1"/>
  <c r="D4" i="13"/>
  <c r="D37" i="12"/>
  <c r="E29" i="15"/>
  <c r="G28" i="1" s="1"/>
  <c r="C28" i="1"/>
  <c r="C11" i="9"/>
  <c r="C8" i="9"/>
  <c r="E4" i="13"/>
  <c r="C21" i="9"/>
  <c r="B30" i="15"/>
  <c r="E35" i="15"/>
  <c r="G34" i="1" s="1"/>
  <c r="C34" i="1"/>
  <c r="D11" i="9"/>
  <c r="D8" i="9"/>
  <c r="D29" i="9" s="1"/>
  <c r="E5" i="13"/>
  <c r="D11" i="19"/>
  <c r="D8" i="19"/>
  <c r="D29" i="19" s="1"/>
  <c r="B6" i="13"/>
  <c r="E10" i="12"/>
  <c r="E12" i="12" s="1"/>
  <c r="E25" i="9"/>
  <c r="E17" i="9"/>
  <c r="E10" i="9"/>
  <c r="E21" i="7"/>
  <c r="E23" i="7" s="1"/>
  <c r="E6" i="12" s="1"/>
  <c r="E12" i="7"/>
  <c r="D10" i="21"/>
  <c r="D12" i="21"/>
  <c r="C10" i="21"/>
  <c r="C12" i="21" s="1"/>
  <c r="H8" i="21"/>
  <c r="C16" i="21" s="1"/>
  <c r="C27" i="19"/>
  <c r="C29" i="15"/>
  <c r="H6" i="21"/>
  <c r="C17" i="21" s="1"/>
  <c r="C13" i="21"/>
  <c r="C6" i="19"/>
  <c r="C8" i="19" s="1"/>
  <c r="C14" i="19"/>
  <c r="C16" i="19" s="1"/>
  <c r="C28" i="21"/>
  <c r="E28" i="21" s="1"/>
  <c r="H6" i="13"/>
  <c r="E6" i="19"/>
  <c r="E14" i="19"/>
  <c r="E16" i="19" s="1"/>
  <c r="G6" i="19"/>
  <c r="G14" i="19"/>
  <c r="G16" i="19" s="1"/>
  <c r="G12" i="7"/>
  <c r="G21" i="7"/>
  <c r="G23" i="7" s="1"/>
  <c r="G6" i="12" s="1"/>
  <c r="G13" i="12" s="1"/>
  <c r="G10" i="9"/>
  <c r="G17" i="9"/>
  <c r="G25" i="9"/>
  <c r="F25" i="9"/>
  <c r="F17" i="9"/>
  <c r="F10" i="9"/>
  <c r="F21" i="7"/>
  <c r="F23" i="7" s="1"/>
  <c r="F6" i="12" s="1"/>
  <c r="F13" i="12" s="1"/>
  <c r="F12" i="7"/>
  <c r="G19" i="18"/>
  <c r="G20" i="18" s="1"/>
  <c r="G8" i="21" s="1"/>
  <c r="F19" i="18"/>
  <c r="F20" i="18" s="1"/>
  <c r="F8" i="21" s="1"/>
  <c r="F12" i="17"/>
  <c r="F21" i="17"/>
  <c r="F23" i="17" s="1"/>
  <c r="F6" i="21" s="1"/>
  <c r="F13" i="21" s="1"/>
  <c r="F10" i="19"/>
  <c r="F17" i="19"/>
  <c r="F25" i="19"/>
  <c r="E34" i="15"/>
  <c r="G33" i="1" s="1"/>
  <c r="C33" i="1"/>
  <c r="C42" i="10"/>
  <c r="C34" i="15"/>
  <c r="G19" i="8"/>
  <c r="G20" i="8" s="1"/>
  <c r="G8" i="12" s="1"/>
  <c r="F19" i="8"/>
  <c r="F20" i="8" s="1"/>
  <c r="F8" i="12" s="1"/>
  <c r="H8" i="12" s="1"/>
  <c r="C16" i="12" s="1"/>
  <c r="E11" i="12" l="1"/>
  <c r="D5" i="13"/>
  <c r="C9" i="9"/>
  <c r="D9" i="9" s="1"/>
  <c r="C20" i="9"/>
  <c r="C22" i="12" s="1"/>
  <c r="C29" i="9"/>
  <c r="B28" i="15"/>
  <c r="D34" i="3"/>
  <c r="D9" i="3"/>
  <c r="E30" i="15"/>
  <c r="G29" i="1" s="1"/>
  <c r="C29" i="1"/>
  <c r="D48" i="3"/>
  <c r="A7" i="1"/>
  <c r="C28" i="12"/>
  <c r="E28" i="12" s="1"/>
  <c r="G6" i="13"/>
  <c r="H6" i="12"/>
  <c r="C17" i="12" s="1"/>
  <c r="A11" i="1" s="1"/>
  <c r="E13" i="12"/>
  <c r="E6" i="9"/>
  <c r="E14" i="9"/>
  <c r="E16" i="9" s="1"/>
  <c r="C21" i="21"/>
  <c r="C27" i="21"/>
  <c r="E27" i="21" s="1"/>
  <c r="H5" i="13"/>
  <c r="C35" i="15"/>
  <c r="C39" i="15"/>
  <c r="H10" i="21"/>
  <c r="C36" i="15" s="1"/>
  <c r="C11" i="21"/>
  <c r="C18" i="21"/>
  <c r="C20" i="21"/>
  <c r="C26" i="21"/>
  <c r="E26" i="21" s="1"/>
  <c r="C37" i="21"/>
  <c r="H4" i="13"/>
  <c r="F29" i="15"/>
  <c r="H28" i="1" s="1"/>
  <c r="E28" i="1"/>
  <c r="H13" i="21"/>
  <c r="C39" i="21"/>
  <c r="C9" i="19"/>
  <c r="D9" i="19" s="1"/>
  <c r="E9" i="19" s="1"/>
  <c r="C20" i="19"/>
  <c r="C22" i="21" s="1"/>
  <c r="C29" i="19"/>
  <c r="C28" i="15"/>
  <c r="C21" i="19"/>
  <c r="C30" i="15"/>
  <c r="E11" i="19"/>
  <c r="E8" i="19"/>
  <c r="E29" i="19" s="1"/>
  <c r="G11" i="19"/>
  <c r="G8" i="19"/>
  <c r="G29" i="19" s="1"/>
  <c r="G6" i="9"/>
  <c r="G14" i="9"/>
  <c r="G16" i="9" s="1"/>
  <c r="F6" i="9"/>
  <c r="F14" i="9"/>
  <c r="F16" i="9" s="1"/>
  <c r="G10" i="21"/>
  <c r="G12" i="21"/>
  <c r="F10" i="21"/>
  <c r="F12" i="21" s="1"/>
  <c r="F6" i="19"/>
  <c r="F14" i="19"/>
  <c r="F16" i="19" s="1"/>
  <c r="F34" i="15"/>
  <c r="H33" i="1" s="1"/>
  <c r="E33" i="1"/>
  <c r="G10" i="12"/>
  <c r="G12" i="12"/>
  <c r="B8" i="13"/>
  <c r="F10" i="12"/>
  <c r="F12" i="12"/>
  <c r="B7" i="13"/>
  <c r="E37" i="12"/>
  <c r="H10" i="12" l="1"/>
  <c r="B39" i="15"/>
  <c r="C21" i="12"/>
  <c r="F11" i="12"/>
  <c r="D6" i="13"/>
  <c r="E28" i="15"/>
  <c r="C27" i="1"/>
  <c r="C7" i="1"/>
  <c r="B36" i="15"/>
  <c r="C39" i="12"/>
  <c r="E11" i="1" s="1"/>
  <c r="H13" i="12"/>
  <c r="E11" i="9"/>
  <c r="E8" i="9"/>
  <c r="E6" i="13"/>
  <c r="F35" i="15"/>
  <c r="H34" i="1" s="1"/>
  <c r="E34" i="1"/>
  <c r="F39" i="15"/>
  <c r="H38" i="1" s="1"/>
  <c r="E38" i="1"/>
  <c r="F36" i="15"/>
  <c r="H35" i="1" s="1"/>
  <c r="E35" i="1"/>
  <c r="D11" i="21"/>
  <c r="E11" i="21" s="1"/>
  <c r="F11" i="21" s="1"/>
  <c r="G11" i="21" s="1"/>
  <c r="C19" i="21"/>
  <c r="D37" i="21"/>
  <c r="E37" i="21" s="1"/>
  <c r="F28" i="15"/>
  <c r="E27" i="1"/>
  <c r="F30" i="15"/>
  <c r="H29" i="1" s="1"/>
  <c r="E29" i="1"/>
  <c r="G11" i="9"/>
  <c r="G8" i="9"/>
  <c r="G29" i="9" s="1"/>
  <c r="E8" i="13"/>
  <c r="F11" i="9"/>
  <c r="F8" i="9"/>
  <c r="F29" i="9" s="1"/>
  <c r="E7" i="13"/>
  <c r="C30" i="21"/>
  <c r="E30" i="21" s="1"/>
  <c r="H8" i="13"/>
  <c r="C29" i="21"/>
  <c r="E29" i="21" s="1"/>
  <c r="H7" i="13"/>
  <c r="F11" i="19"/>
  <c r="F8" i="19"/>
  <c r="C30" i="12"/>
  <c r="E30" i="12" s="1"/>
  <c r="G8" i="13"/>
  <c r="C29" i="12"/>
  <c r="E29" i="12" s="1"/>
  <c r="G7" i="13"/>
  <c r="F37" i="12"/>
  <c r="E31" i="12" l="1"/>
  <c r="C38" i="1"/>
  <c r="E39" i="15"/>
  <c r="G38" i="1" s="1"/>
  <c r="G11" i="12"/>
  <c r="D8" i="13" s="1"/>
  <c r="D7" i="13"/>
  <c r="G27" i="1"/>
  <c r="E36" i="15"/>
  <c r="G35" i="1" s="1"/>
  <c r="C35" i="1"/>
  <c r="C11" i="1"/>
  <c r="D43" i="3"/>
  <c r="E9" i="9"/>
  <c r="F9" i="9" s="1"/>
  <c r="G9" i="9" s="1"/>
  <c r="E29" i="9"/>
  <c r="H27" i="1"/>
  <c r="F9" i="19"/>
  <c r="G9" i="19" s="1"/>
  <c r="F29" i="19"/>
  <c r="B37" i="15"/>
  <c r="E7" i="1"/>
  <c r="E31" i="21"/>
  <c r="C37" i="15" s="1"/>
  <c r="F37" i="21"/>
  <c r="G37" i="21" s="1"/>
  <c r="C38" i="21"/>
  <c r="C38" i="15"/>
  <c r="G37" i="12"/>
  <c r="C38" i="12" s="1"/>
  <c r="B38" i="15"/>
  <c r="C36" i="1" l="1"/>
  <c r="E37" i="15"/>
  <c r="F37" i="15"/>
  <c r="E36" i="1"/>
  <c r="E37" i="1"/>
  <c r="F38" i="15"/>
  <c r="H37" i="1" s="1"/>
  <c r="E38" i="15"/>
  <c r="G37" i="1" s="1"/>
  <c r="C37" i="1"/>
  <c r="E40" i="15" l="1"/>
  <c r="G39" i="1" s="1"/>
  <c r="G36" i="1"/>
  <c r="F40" i="15"/>
  <c r="H39" i="1" s="1"/>
  <c r="H36" i="1"/>
</calcChain>
</file>

<file path=xl/sharedStrings.xml><?xml version="1.0" encoding="utf-8"?>
<sst xmlns="http://schemas.openxmlformats.org/spreadsheetml/2006/main" count="1855" uniqueCount="1135">
  <si>
    <t>Township Green Loop – Executive Summary</t>
  </si>
  <si>
    <t>SDP University Hackathon 2026 · Theme: Planet · We run the platform; township developers pay to use it; residents invest in three green pools.</t>
  </si>
  <si>
    <t>Vendor (us, the platform)</t>
  </si>
  <si>
    <t>Vendor ROI (5-yr)</t>
  </si>
  <si>
    <t>Vendor net profit (5-yr)</t>
  </si>
  <si>
    <t>Vendor NPV</t>
  </si>
  <si>
    <t>Customer (township developers, all clients)</t>
  </si>
  <si>
    <t>Customer ROI (5-yr)</t>
  </si>
  <si>
    <t>Customer net profit (5-yr)</t>
  </si>
  <si>
    <t>Customer NPV</t>
  </si>
  <si>
    <t>Investor (resident) view: see the Investor_View sheet (minimum and maximum investment for each pool).</t>
  </si>
  <si>
    <t>Key takeaways</t>
  </si>
  <si>
    <t>• SDP gains from Year 1 even on cash alone: Year 1 costs only a RM20,000 set-up instalment, and the JV passes a 1% fee on residents' solar money to SDP. Half of the community saving is guaranteed in the contract.</t>
  </si>
  <si>
    <t>• Residents earn from Year 1 on solar and upgrades; EV is variable with a minimum-usage top-up.</t>
  </si>
  <si>
    <t>• We lose money in Year 1 (covered by a RM120,000 grant) and earn from Year 2, even if only one new developer signs that year. See Conservative_Test.</t>
  </si>
  <si>
    <t>Core prices</t>
  </si>
  <si>
    <t>Normal vs conservative (live, from Conservative_Test)</t>
  </si>
  <si>
    <t>Check</t>
  </si>
  <si>
    <t>Normal</t>
  </si>
  <si>
    <t>Conservative</t>
  </si>
  <si>
    <t>1. Customer (SDP) net gain, Year 1</t>
  </si>
  <si>
    <t>2. Customer cash-only net gain, Year 1 (no community saving)</t>
  </si>
  <si>
    <t>2b. New developer net gain, its Year 1</t>
  </si>
  <si>
    <t>3. Residents' profit, Year 1 (all pools, SDP)</t>
  </si>
  <si>
    <t>4a. Solar investor return, Year 1</t>
  </si>
  <si>
    <t>4b. Upgrade investor return, Year 1</t>
  </si>
  <si>
    <t>4c. EV investor loss over the 7-year payback period</t>
  </si>
  <si>
    <t>5. Vendor net profit, Year 2</t>
  </si>
  <si>
    <t>6. Vendor net profit, 5 years</t>
  </si>
  <si>
    <t>7. NPV of vendor cash flows</t>
  </si>
  <si>
    <t>8. Lowest cash balance in 5 years (with grant)</t>
  </si>
  <si>
    <t>9. Vendor lowest yearly net profit, Years 2–5</t>
  </si>
  <si>
    <t>All checks</t>
  </si>
  <si>
    <t>Investor_View – what a resident gets from each pool, at the minimum and maximum investment</t>
  </si>
  <si>
    <t>All numbers link to Investor_ROI and Assumptions. Change the limits in Assumptions rows 96–101.</t>
  </si>
  <si>
    <t>Per resident</t>
  </si>
  <si>
    <t>Solar pool (low risk)</t>
  </si>
  <si>
    <t>Upgrade pool (medium risk)</t>
  </si>
  <si>
    <t>EV pool (high risk)</t>
  </si>
  <si>
    <t>Minimum</t>
  </si>
  <si>
    <t>Maximum</t>
  </si>
  <si>
    <t>Invest</t>
  </si>
  <si>
    <t>Investment rate (per year)</t>
  </si>
  <si>
    <t>Rate type</t>
  </si>
  <si>
    <t>Fixed payout backed by tenant power payments (not roof leasing); minimum 4.5%</t>
  </si>
  <si>
    <t>Fixed; installer guarantees shop savings</t>
  </si>
  <si>
    <t>Variable, not guaranteed; partners top up to 60 kWh/day (capped)</t>
  </si>
  <si>
    <t>Money paid back over</t>
  </si>
  <si>
    <t>Normal case</t>
  </si>
  <si>
    <t>Total received</t>
  </si>
  <si>
    <t>Return over the payback period (RM)</t>
  </si>
  <si>
    <t>Return over the payback period (%)</t>
  </si>
  <si>
    <t>Conservative case (Pools_Scenarios sheet)</t>
  </si>
  <si>
    <t>Effective rate (per year)</t>
  </si>
  <si>
    <t>• Payback period: solar 5 years, upgrades 3 years, EV 7 years. Returns are over each pool's own payback period. The return % is the same at the minimum and the maximum; only the RM amount changes.</t>
  </si>
  <si>
    <t>• Solar: residents are funders, not roof landlords. The developer/JV owns and runs the panels; tenants, malls and factories pay for the power, and residents' payouts are paid first. Different from SDP's CREAM roof-leasing project in Elmina.</t>
  </si>
  <si>
    <t>• Upgrades: paid back monthly over 3 years. Totals are after expected shop defaults and the bad-debt reserve.</t>
  </si>
  <si>
    <t>• EV: the thinnest pool. A licensed charge point operator (CPO) co-invests half and runs the chargers. Payouts come only from charging profit; the developer and platform take their 10% shares only after residents get their money back. If usage falls below 60 kWh/day, partners top up (capped at RM3,000 per charger a year). Price wars, cost rises and a refused government grant are NOT covered: in the conservative case residents get back only about 60% of their money.</t>
  </si>
  <si>
    <t>• Risk disclosure: none of the pools is a deposit and none is covered by PIDM. Money is held by a licensed platform, never by us. Caps (RM2,000 / 1,000 / 500) sit well inside the retail limit of RM10,000 per issuer and RM50,000 a year [R17].</t>
  </si>
  <si>
    <t>Business_Case – who pays whom, investment rules, customers, stakeholders and competition</t>
  </si>
  <si>
    <t>Vendor = us (the platform company); SDP and other township developers are our customers. Green cells are live links to the model.</t>
  </si>
  <si>
    <t>1. Business model – who pays whom</t>
  </si>
  <si>
    <t>Party</t>
  </si>
  <si>
    <t>Puts in</t>
  </si>
  <si>
    <t>Gets out</t>
  </si>
  <si>
    <t>Live number</t>
  </si>
  <si>
    <t>Residents (investors)</t>
  </si>
  <si>
    <t>From RM100 per pool through a licensed market operator (RMO). Caps: Solar RM2,000, Upgrades RM1,000, EV RM500.</t>
  </si>
  <si>
    <t>Monthly payouts to the app wallet; +10% when spent at SDP malls (shop-funded); green points and badges. Solar 5% fixed (minimum 4.5%), Upgrades 6.5% fixed, EV variable (~6.6% expected, not guaranteed).</t>
  </si>
  <si>
    <t>Shop tenants</t>
  </si>
  <si>
    <t>Nothing upfront. Pay for solar power about 15% below grid; repay upgrades from 80% of bill savings; installer guarantees at least RM800 a month saving.</t>
  </si>
  <si>
    <t>Lower bills now; keep 100% of the savings after 3 years; energy dashboard.</t>
  </si>
  <si>
    <t>EV drivers</t>
  </si>
  <si>
    <t>Pay RM1.40/kWh (DC 60 kW) or RM1.00/kWh (AC 22 kW); peak and off-peak prices; idle fee after 15 minutes.</t>
  </si>
  <si>
    <t>Charging at the mall while they shop.</t>
  </si>
  <si>
    <t>SDP and other developers (OUR CUSTOMERS)</t>
  </si>
  <si>
    <t>Roofs, malls, tenant relationships, community programme team. Pay us: set-up RM50,000 (RM20,000 in Year 1), platform fee RM72,000 a year from Year 2, usage fees. Bear 50% of the RMO fee.</t>
  </si>
  <si>
    <t>Cheaper money for solar, JV fee, upgrade fees, extra mall rent, REC sales, community-programme saving, ESG/carbon data for the sustainability report.</t>
  </si>
  <si>
    <t>Us – Township Green Loop (VENDOR)</t>
  </si>
  <si>
    <t>Build and run the app: wallet, points, bills, rewards, impact data, AI advisor. Lean team of 2 founders.</t>
  </si>
  <si>
    <t>Set-up and platform fees, 0.75% success fee (waived in Year 1), 0.5% a year on money invested, 2% on mall redemptions, shop featured offers and dashboards, REC service fee, 10% of residents' EV profit after they recover their money.</t>
  </si>
  <si>
    <t>Licensed platform (RMO), e.g. pitchIN or Ethis</t>
  </si>
  <si>
    <t>Holds residents' money in trust, KYC, regulatory compliance. We are the front end only.</t>
  </si>
  <si>
    <t>Success fee about 6% + SST of money raised, paid by the issuer (developer 50%, JV/SPV 50%) [R19].</t>
  </si>
  <si>
    <t>Charge point operator (ChargEV, Gentari, DC Handal, TNB Electron…)</t>
  </si>
  <si>
    <t>Co-funds 50% of each charger, applies for the MARii grant, runs operations, maintenance, SLA and customer service.</t>
  </si>
  <si>
    <t>50% of charging profit plus the service fee; pays 34% of any usage top-up.</t>
  </si>
  <si>
    <t>SDP × GSPARX JV</t>
  </si>
  <si>
    <t>Owns and runs the solar assets; funds the 70% residents do not.</t>
  </si>
  <si>
    <t>Power sales to tenants; lower cost of capital (5% to residents vs 8.5% own money).</t>
  </si>
  <si>
    <t>2. Investment rules</t>
  </si>
  <si>
    <t>Rule</t>
  </si>
  <si>
    <t>What</t>
  </si>
  <si>
    <t>Why / source</t>
  </si>
  <si>
    <t>Where enforced</t>
  </si>
  <si>
    <t>Who can invest</t>
  </si>
  <si>
    <t>Verified township residents, plus supporters: family of residents, people who work in the township, former residents. KYC through the RMO for both.</t>
  </si>
  <si>
    <t>Residents first, supporters welcome: keeps the township at the centre while widening the investor base to fill each raise</t>
  </si>
  <si>
    <t>RMO onboarding; profile role (resident / supporter)</t>
  </si>
  <si>
    <t>Resident priority</t>
  </si>
  <si>
    <t>Residents get the first 14 days of every raise and at least 70% of each pool</t>
  </si>
  <si>
    <t>Benefits stay local</t>
  </si>
  <si>
    <t>Raise schedule on each pool</t>
  </si>
  <si>
    <t>Minimum / caps</t>
  </si>
  <si>
    <t>From RM100. Per resident: Solar RM2,000, Upgrades RM1,000, EV RM500</t>
  </si>
  <si>
    <t>Retail limit RM10,000 per issuer and RM50,000 per 12 months [R17]</t>
  </si>
  <si>
    <t>Database trigger (pools.min_invest / max_invest)</t>
  </si>
  <si>
    <t>12-month limit</t>
  </si>
  <si>
    <t>RM50,000 in total across all pools in any 12 months</t>
  </si>
  <si>
    <t>SC retail limit [R17]</t>
  </si>
  <si>
    <t>Database trigger</t>
  </si>
  <si>
    <t>Risk statement</t>
  </si>
  <si>
    <t>Must read and accept each pool's risk statement before the first investment</t>
  </si>
  <si>
    <t>Investor education duty of the operator</t>
  </si>
  <si>
    <t>risk_acknowledgements table</t>
  </si>
  <si>
    <t>Who holds money</t>
  </si>
  <si>
    <t>SC-recognised market operator holds funds in trust; the app is the front end only</t>
  </si>
  <si>
    <t>We never touch investor money</t>
  </si>
  <si>
    <t>Contract with RMO</t>
  </si>
  <si>
    <t>Solar share</t>
  </si>
  <si>
    <t>Residents fund at most 30% of each solar asset (20% in the conservative test)</t>
  </si>
  <si>
    <t>Tenant power payments cover payouts about 1.6x at 30%</t>
  </si>
  <si>
    <t>Assumptions row 111</t>
  </si>
  <si>
    <t>Upgrade shops</t>
  </si>
  <si>
    <t>Only high-energy shops with 3+ years left on lease and a deposit SDP holds; installer guarantees a minimum saving</t>
  </si>
  <si>
    <t>Tenant credit risk</t>
  </si>
  <si>
    <t>Shop selection + installer contract</t>
  </si>
  <si>
    <t>EV exposure</t>
  </si>
  <si>
    <t>EV under ~10% of each raise; RM500 cap; 'capital can fall' warning; developer and platform shares wait until residents recover their money</t>
  </si>
  <si>
    <t>Highest-risk pool (EV_Pilot)</t>
  </si>
  <si>
    <t>Pool cap + app warning</t>
  </si>
  <si>
    <t>Release of funds</t>
  </si>
  <si>
    <t>Each asset's money is released only when that asset is ready</t>
  </si>
  <si>
    <t>No idle money; explains partial Year-1 payouts</t>
  </si>
  <si>
    <t>RMO escrow</t>
  </si>
  <si>
    <t>Payouts</t>
  </si>
  <si>
    <t>Monthly to the app wallet; withdraw, reinvest or spend at SDP malls with +10%</t>
  </si>
  <si>
    <t>Proposal</t>
  </si>
  <si>
    <t>wallet_transactions, spend_at_mall()</t>
  </si>
  <si>
    <t>Points for supporters</t>
  </si>
  <si>
    <t>Supporters cannot check in to activities (they are not on site); they earn points only by converting wallet money (20 points per RM1)</t>
  </si>
  <si>
    <t>Points for green actions stay with people who do them</t>
  </si>
  <si>
    <t>Database blocks supporter check-ins</t>
  </si>
  <si>
    <t>Badges</t>
  </si>
  <si>
    <t>Badges reward green actions only (recycling, events, energy saving), never the amount invested</t>
  </si>
  <si>
    <t>Avoids pressure to invest more</t>
  </si>
  <si>
    <t>Badge rules in the app</t>
  </si>
  <si>
    <t>Disclosure</t>
  </si>
  <si>
    <t>Show risk rating, expected payout, total payback and carbon saved before every investment</t>
  </si>
  <si>
    <t>Investor education</t>
  </si>
  <si>
    <t>Invest page</t>
  </si>
  <si>
    <t>3. Target customers</t>
  </si>
  <si>
    <t>Segment</t>
  </si>
  <si>
    <t>Who</t>
  </si>
  <si>
    <t>Hook</t>
  </si>
  <si>
    <t>Evidence</t>
  </si>
  <si>
    <t>Our customer – township developers</t>
  </si>
  <si>
    <t>SDP first (28 townships and developments [R5]); then other township developers at about 60% of SDP's size</t>
  </si>
  <si>
    <t>Gain from Year 1; ESG data; tenant retention; mall footfall</t>
  </si>
  <si>
    <t>End users – residents with savings</t>
  </si>
  <si>
    <t>Residents of SDP townships with savings to put to work</t>
  </si>
  <si>
    <t>5–6.5% on low-risk pools vs a 12-month FD board rate of about 1.9% [R10]. EPF paid 6.15% for 2025 [R11], so we are a complement, not a replacement.</t>
  </si>
  <si>
    <t>Active mall shoppers</t>
  </si>
  <si>
    <t>Residents already using SDP malls</t>
  </si>
  <si>
    <t>+10% wallet bonus and points make the wallet worth keeping</t>
  </si>
  <si>
    <t>Supporters</t>
  </si>
  <si>
    <t>Family of residents (e.g. children working in other states), township workers, former residents</t>
  </si>
  <si>
    <t>Back the township they care about; same pools, rates and caps; spend points and mall credits when they visit</t>
  </si>
  <si>
    <t>Shop tenants (B2B)</t>
  </si>
  <si>
    <t>High-energy shops in KL East Mall, Elmina Lakeside Mall, KLGCC Mall</t>
  </si>
  <si>
    <t>Lower bills with no upfront cost</t>
  </si>
  <si>
    <t>Partners</t>
  </si>
  <si>
    <t>GSPARX/TNB (solar), charge point operator, licensed RMO</t>
  </si>
  <si>
    <t>Volume, co-branding, ESG story</t>
  </si>
  <si>
    <t>4. Stakeholders – what we show each one</t>
  </si>
  <si>
    <t>Stakeholder</t>
  </si>
  <si>
    <t>What they care about</t>
  </si>
  <si>
    <t>What we show / ask</t>
  </si>
  <si>
    <t>SDP leadership (our buyer)</t>
  </si>
  <si>
    <t>Cost, fees, footfall, ESG reporting</t>
  </si>
  <si>
    <t>Customer_ROI: SDP gains from Year 1; 5-year developer ROI; carbon data. Ask: Year-1 pilot at one township.</t>
  </si>
  <si>
    <t>Mall managers / leasing</t>
  </si>
  <si>
    <t>Tenant retention, rent</t>
  </si>
  <si>
    <t>Energy-upgrade pilot with 5–10 shops; extra sales earn only the turnover rent (about 1%), not average rent</t>
  </si>
  <si>
    <t>Lower bills, no capex</t>
  </si>
  <si>
    <t>Solar 15% below grid; 80:20 savings split, then 100% to the shop</t>
  </si>
  <si>
    <t>Residents</t>
  </si>
  <si>
    <t>Safe-ish return, local impact</t>
  </si>
  <si>
    <t>Investor_View: return over each pool's payback period at min and max, risk labels</t>
  </si>
  <si>
    <t>JV partner / RMO</t>
  </si>
  <si>
    <t>Volume and compliance</t>
  </si>
  <si>
    <t>Tranche roadmap; residents fund under 30% of solar; JV shares the RMO fee</t>
  </si>
  <si>
    <t>Investors in us (grant / pre-seed)</t>
  </si>
  <si>
    <t>Path to profit</t>
  </si>
  <si>
    <t>Vendor loses Year 1 (covered by grant), profitable from Year 2</t>
  </si>
  <si>
    <t>5. Competition</t>
  </si>
  <si>
    <t>Alternative</t>
  </si>
  <si>
    <t>What it does</t>
  </si>
  <si>
    <t>Gap Green Loop fills</t>
  </si>
  <si>
    <t>Equity crowdfunding platforms (e.g. pitchIN, Ethis)</t>
  </si>
  <si>
    <t>SC-recognised platforms; retail investors up to RM10,000 per issuer and RM50,000 a year [R17]</t>
  </si>
  <si>
    <t>Start-up equity, not local green assets; no rewards or mall wallet</t>
  </si>
  <si>
    <t>Green SRI sukuk</t>
  </si>
  <si>
    <t>Funds large solar plants for institutional investors</t>
  </si>
  <si>
    <t>Not open to RM100 retail investors</t>
  </si>
  <si>
    <t>Mall loyalty apps (e.g. Sunway Pals, Pavilion Privileges)</t>
  </si>
  <si>
    <t>Points on spending</t>
  </si>
  <si>
    <t>Rewards spending only; nothing to invest in or earn payouts from</t>
  </si>
  <si>
    <t>Bank FD / EPF</t>
  </si>
  <si>
    <t>FD board rate ~1.9% [R10], promos higher; EPF 6.15% for 2025 [R11]</t>
  </si>
  <si>
    <t>Low engagement, no local impact; we add local green yield plus spending power</t>
  </si>
  <si>
    <t>SDP's own CREAM rooftop leasing (Elmina)</t>
  </si>
  <si>
    <t>Homeowners rent out roofs to SDP/GSPARX [R4][R4]</t>
  </si>
  <si>
    <t>We let any resident (incl. condo owners and renters) fund green assets – complements CREAM</t>
  </si>
  <si>
    <t>Our edge</t>
  </si>
  <si>
    <t>Invest + earn + spend inside one township app, backed by real SDP assets</t>
  </si>
  <si>
    <t>First to join all three; SDP owns the roofs, malls and tenant data</t>
  </si>
  <si>
    <t>Township Green Loop – Business Plan Assumptions</t>
  </si>
  <si>
    <t>Blue = input you can change · Yellow = key assumption to check · Black = formula. All money in RM. Yearly inputs (by client year) are in the table at the bottom.</t>
  </si>
  <si>
    <t>Input</t>
  </si>
  <si>
    <t>Value</t>
  </si>
  <si>
    <t>Unit</t>
  </si>
  <si>
    <t>Source / note</t>
  </si>
  <si>
    <t>General</t>
  </si>
  <si>
    <t>Model Year 1 (calendar year)</t>
  </si>
  <si>
    <t>year</t>
  </si>
  <si>
    <t>Platform goes live after the hackathon pilot.</t>
  </si>
  <si>
    <t>Average investment per resident</t>
  </si>
  <si>
    <t>RM</t>
  </si>
  <si>
    <t>Assumption. Each pool has its own minimum and maximum (Assumptions rows 96–101).</t>
  </si>
  <si>
    <t>Share of resident payouts spent at the developer's malls</t>
  </si>
  <si>
    <t>%</t>
  </si>
  <si>
    <t>Assumption. Not survey-validated.</t>
  </si>
  <si>
    <t>Mall redemption bonus (paid by participating shops as a promotion)</t>
  </si>
  <si>
    <t>Design choice. Shops fund it, so it costs the developer nothing.</t>
  </si>
  <si>
    <t>Turnover rent the mall earns on extra shop sales</t>
  </si>
  <si>
    <t>% of sales</t>
  </si>
  <si>
    <t>Assumption: turnover rent of about 1% of gross sales on top of base rent; confirm with SDP leasing.</t>
  </si>
  <si>
    <t>Average electricity cost for shops (low-voltage commercial)</t>
  </si>
  <si>
    <t>RM/kWh</t>
  </si>
  <si>
    <t>Links to row 102: 50.7 sen/kWh low-voltage non-domestic tariff, 1 Jul 2025 – 31 Dec 2027 [R6].</t>
  </si>
  <si>
    <t>Grid emission factor, Peninsular Malaysia 2024</t>
  </si>
  <si>
    <t>tCO2e/MWh</t>
  </si>
  <si>
    <t>Energy Commission, Grid Emission Factor 2022–2024 (provisional) [R7].</t>
  </si>
  <si>
    <t>SDP yearly spend on community programmes and spaces</t>
  </si>
  <si>
    <t>RM/yr</t>
  </si>
  <si>
    <t>SDP Integrated Report 2024 key highlights: 70,000+ beneficiaries of community programmes and spaces, RM20.8 million total economic spend [R3].</t>
  </si>
  <si>
    <t>Share of solar funding saving kept by the developer</t>
  </si>
  <si>
    <t>Assumption. Solar assets sit in the SDP × GSPARX joint venture [R1]; the split is not public, so 50% is used.</t>
  </si>
  <si>
    <t>Pool 1 – Rooftop solar (residents fund it; the developer/JV owns and runs it – not roof leasing)</t>
  </si>
  <si>
    <t>Installed solar cost</t>
  </si>
  <si>
    <t>RM/kWp</t>
  </si>
  <si>
    <t>Assumption: commercial rooftop system including SST, mounting and grid works. Confirm with installer quotes.</t>
  </si>
  <si>
    <t>Solar output per kWp</t>
  </si>
  <si>
    <t>kWh/kWp/yr</t>
  </si>
  <si>
    <t>Conservative assumption. An academic study of a 216 kWp grid-connected system in Malaysia implies about 1,450 kWh/kWp a year [R25].</t>
  </si>
  <si>
    <t>Share of each solar asset funded by residents</t>
  </si>
  <si>
    <t>Links to row 111 (30%); the conservative case uses row 112 (20%). At 30%, tenant power payments cover payouts about 1.6 times (Investor_ROI).</t>
  </si>
  <si>
    <t>Payout rate to residents (solar)</t>
  </si>
  <si>
    <t>% a year</t>
  </si>
  <si>
    <t>Design choice. Above the 12-month FD board rate of about 1.9% [R10] and below EPF's 6.15% for 2025 [R11].</t>
  </si>
  <si>
    <t>Solar payout tenure</t>
  </si>
  <si>
    <t>years</t>
  </si>
  <si>
    <t>Design choice.</t>
  </si>
  <si>
    <t>Return the JV would otherwise need on its own money</t>
  </si>
  <si>
    <t>Assumption: return the JV would need on its own money for a solar project.</t>
  </si>
  <si>
    <t>Pool 2 – Shop energy upgrades</t>
  </si>
  <si>
    <t>Upgrade cost per shop</t>
  </si>
  <si>
    <t>Assumption (efficient air-con, fridges, LED). Get supplier quotes.</t>
  </si>
  <si>
    <t>Bill saving per shop</t>
  </si>
  <si>
    <t>RM/month</t>
  </si>
  <si>
    <t>Assumption: about 25% of a RM4,000 monthly bill. Confirm with energy audits.</t>
  </si>
  <si>
    <t>Share of savings used to repay residents</t>
  </si>
  <si>
    <t>Malaysian ESCO shared-savings contracts use 80:20 and 75:25 splits (MAESCO) [R20].</t>
  </si>
  <si>
    <t>Payout rate to residents (upgrades)</t>
  </si>
  <si>
    <t>Design choice: higher than solar to reflect shop default risk.</t>
  </si>
  <si>
    <t>Upgrade payout tenure</t>
  </si>
  <si>
    <t>Developer's share of the monthly safety margin</t>
  </si>
  <si>
    <t>Design choice. Other half kept as a bad-debt reserve.</t>
  </si>
  <si>
    <t>Pool 3 – EV charging (DC 60 kW + AC 22 kW, run by a licensed charge point operator)</t>
  </si>
  <si>
    <t>Installed cost per charger, blended DC/AC mix (before grant)</t>
  </si>
  <si>
    <t>Formula = DC share × DC cost + AC share × AC cost (rows 115–117).</t>
  </si>
  <si>
    <t>Share of each charger's net cost funded by residents</t>
  </si>
  <si>
    <t>Design choice. The charge point operator (CPO) co-invests the other 50% and runs the chargers (operations, maintenance, SLA, customer service).</t>
  </si>
  <si>
    <t>DC 60 kW standard charging price</t>
  </si>
  <si>
    <t>ChargEV at AEON Mall Cheras Selatan, Jul 2026: 60 kW DC RM1.40, 22 kW AC RM1.00, 180 kW DC RM1.60 per kWh [R24].</t>
  </si>
  <si>
    <t>Payment and app costs</t>
  </si>
  <si>
    <t>% of charging revenue</t>
  </si>
  <si>
    <t>Assumption: payment gateway about 1.5–3% plus app costs.</t>
  </si>
  <si>
    <t>DC 60 kW maintenance and CPO service fee</t>
  </si>
  <si>
    <t>Assumption: maintenance, warranty and the CPO's service (SLA, customer service), about 10% of installed cost a year.</t>
  </si>
  <si>
    <t>Energy sold per charger per day</t>
  </si>
  <si>
    <t>kWh/day</t>
  </si>
  <si>
    <t>Formula = sessions × kWh per session (rows 105–106). Usage is the biggest EV risk.</t>
  </si>
  <si>
    <t>Developer's share of residents' charging profit (site host)</t>
  </si>
  <si>
    <t>Split of residents' charging profit: residents 70% (row 132), developer 10%, platform 10% (row 133), O&amp;M reserve 10% (row 134). Developer and platform shares wait until residents recover their money (row 135).</t>
  </si>
  <si>
    <t>Vendor pricing (what we charge each developer)</t>
  </si>
  <si>
    <t>Set-up fee (total, billed over client Years 1 and 2)</t>
  </si>
  <si>
    <t>Formula = Year 1 instalment + Year 2 instalment (rows 60–61).</t>
  </si>
  <si>
    <t>Annual platform fee (from client's second year)</t>
  </si>
  <si>
    <t>Our price for an SDP-size client (RM6,000 a month). Waived in the first year as a pilot. Smaller clients pay pro rata to size.</t>
  </si>
  <si>
    <t>Success fee on money raised through the platform</t>
  </si>
  <si>
    <t>% of raised</t>
  </si>
  <si>
    <t>Our price, separate from the licensed platform's fee (row 148). Waived in client Year 1 (row 62).</t>
  </si>
  <si>
    <t>Yearly fee on residents' money still invested</t>
  </si>
  <si>
    <t>Our price, from client's second year.</t>
  </si>
  <si>
    <t>Fee on mall redemptions (paid by shops)</t>
  </si>
  <si>
    <t>% of redemptions</t>
  </si>
  <si>
    <t>Our price.</t>
  </si>
  <si>
    <t>Vendor costs</t>
  </si>
  <si>
    <t>Founders on payroll</t>
  </si>
  <si>
    <t>people</t>
  </si>
  <si>
    <t>Lean team: product/tech lead + business lead.</t>
  </si>
  <si>
    <t>Founder salary</t>
  </si>
  <si>
    <t>Assumption: junior developer pay.</t>
  </si>
  <si>
    <t>Employer EPF + SOCSO + EIS</t>
  </si>
  <si>
    <t>% of salary</t>
  </si>
  <si>
    <t>Employer EPF 13% (wages up to RM5,000) + SOCSO 1.75% + EIS 0.2% [R12].</t>
  </si>
  <si>
    <t>Contract developer, Year 1</t>
  </si>
  <si>
    <t>months</t>
  </si>
  <si>
    <t>Help build the first version.</t>
  </si>
  <si>
    <t>Contract / extra developer pay</t>
  </si>
  <si>
    <t>Assumption: mid-level developer pay.</t>
  </si>
  <si>
    <t>Supabase Pro per client</t>
  </si>
  <si>
    <t>USD/month</t>
  </si>
  <si>
    <t>Supabase Pro from US$25 a month per organisation; compute billed separately [R22].</t>
  </si>
  <si>
    <t>Vercel Pro per seat</t>
  </si>
  <si>
    <t>Vercel Pro: US$20 a month per deploying seat [R23].</t>
  </si>
  <si>
    <t>Vercel seats</t>
  </si>
  <si>
    <t>seats</t>
  </si>
  <si>
    <t>USD to RM</t>
  </si>
  <si>
    <t>RM per USD</t>
  </si>
  <si>
    <t>Approximate rate; check before use.</t>
  </si>
  <si>
    <t>Security testing, Year 1</t>
  </si>
  <si>
    <t>Assumption (penetration test before handling investor data).</t>
  </si>
  <si>
    <t>Security testing, later years</t>
  </si>
  <si>
    <t>Assumption.</t>
  </si>
  <si>
    <t>Legal, PDPA and partner agreements, Year 1</t>
  </si>
  <si>
    <t>Assumption (licensed platform and developer contracts).</t>
  </si>
  <si>
    <t>Legal and compliance, later years</t>
  </si>
  <si>
    <t>Sales and onboarding per new client</t>
  </si>
  <si>
    <t>Assumption. Used for Year 1 only; later years use row 82.</t>
  </si>
  <si>
    <t>Discount rate for NPV</t>
  </si>
  <si>
    <t>Common range for early-stage tech ventures is 15–20%.</t>
  </si>
  <si>
    <t>Launch terms (customer must gain in Year 1)</t>
  </si>
  <si>
    <t>Set-up fee, Year 1 instalment (50% at signing)</t>
  </si>
  <si>
    <t>Split set-up fee so the client pays less in Year 1. Price for an SDP-size client; smaller clients pay pro rata.</t>
  </si>
  <si>
    <t>Set-up fee, Year 2 instalment (at go-live of full rollout)</t>
  </si>
  <si>
    <t>Billed at go-live of the full rollout.</t>
  </si>
  <si>
    <t>Success-fee discount in client Year 1</t>
  </si>
  <si>
    <t>% off</t>
  </si>
  <si>
    <t>100% = waived in Year 1, in exchange for a signed Year 2 platform-fee commitment.</t>
  </si>
  <si>
    <t>Community-saving guarantee (makes benefit E contractual)</t>
  </si>
  <si>
    <t>Community saving actually achieved (vs expected)</t>
  </si>
  <si>
    <t>Normal case 100%. The conservative test sets this to 0%.</t>
  </si>
  <si>
    <t>Saving we guarantee in the contract (share of expected)</t>
  </si>
  <si>
    <t>We only promise half of the expected saving.</t>
  </si>
  <si>
    <t>Share of any shortfall we credit back to the developer</t>
  </si>
  <si>
    <t>Credit against our fees.</t>
  </si>
  <si>
    <t>Credit cap in client Year 1 (share of that year's fees)</t>
  </si>
  <si>
    <t>In Year 1 the credit can cancel all fees.</t>
  </si>
  <si>
    <t>Credit cap from client Year 2 (share of that year's fees)</t>
  </si>
  <si>
    <t>Limits our downside.</t>
  </si>
  <si>
    <t>Investor protection</t>
  </si>
  <si>
    <t>JV arrangement fee passed to the developer</t>
  </si>
  <si>
    <t>% a year of residents' solar money</t>
  </si>
  <si>
    <t>The JV shares part of its funding saving (8.5% − 5% = 3.5%) with the developer that brings the residents. To negotiate.</t>
  </si>
  <si>
    <t>Solar minimum payout rate (floor)</t>
  </si>
  <si>
    <t>Backed by the JV saving above; the contract rate stays 5%.</t>
  </si>
  <si>
    <t>Guaranteed minimum saving per shop (installer contract)</t>
  </si>
  <si>
    <t>Contract term we require: the installer (ESCO) covers any shortfall below this saving.</t>
  </si>
  <si>
    <t>Shop default rate</t>
  </si>
  <si>
    <t>Assumption. The conservative test uses 10%.</t>
  </si>
  <si>
    <t>Loss when a shop defaults (after deposit and equipment recovery)</t>
  </si>
  <si>
    <t>% of upgrade cost</t>
  </si>
  <si>
    <t>Assumption: SDP holds tenant deposits.</t>
  </si>
  <si>
    <t>EV minimum usage topped up to</t>
  </si>
  <si>
    <t>kWh/day/charger</t>
  </si>
  <si>
    <t>Equal to normal usage, so no top-up in the normal case. If a charger sells less, partners pay residents for the missing kWh at the normal contract margin, up to the yearly cap (row 140).</t>
  </si>
  <si>
    <t>Share of the top-up paid by the developer</t>
  </si>
  <si>
    <t>Platform pays 33% (row 138) and the CPO 34% (row 139; it also covers its own downtime).</t>
  </si>
  <si>
    <t>New income lines (paid by shops or from certificate sales, not by the developer)</t>
  </si>
  <si>
    <t>Renewable energy certificate (REC) price</t>
  </si>
  <si>
    <t>USD/MWh</t>
  </si>
  <si>
    <t>Malaysian solar I-REC, US$3.45/MWh, 24 Apr 2026 (S&amp;P Global Platts) [R21].</t>
  </si>
  <si>
    <t>Our REC registration and sales service fee</t>
  </si>
  <si>
    <t>% of REC sales</t>
  </si>
  <si>
    <t>Shops buying featured offers in the rewards catalogue</t>
  </si>
  <si>
    <t>shops per SDP-size client</t>
  </si>
  <si>
    <t>Featured-offer fee</t>
  </si>
  <si>
    <t>RM/month per shop</t>
  </si>
  <si>
    <t>Energy dashboard subscription for upgraded shops</t>
  </si>
  <si>
    <t>Our price. Shops track their savings.</t>
  </si>
  <si>
    <t>Our cost and cash plan</t>
  </si>
  <si>
    <t>Founders' pay taken in cash in Year 1</t>
  </si>
  <si>
    <t>Rest taken as equity (non-cash).</t>
  </si>
  <si>
    <t>Contract developer paid in cash</t>
  </si>
  <si>
    <t>% of pay</t>
  </si>
  <si>
    <t>Rest paid in equity.</t>
  </si>
  <si>
    <t>Onboarding per new client after Year 1 (standardised)</t>
  </si>
  <si>
    <t>Standard onboarding playbook.</t>
  </si>
  <si>
    <t>Year 1 grant / pre-seed funding</t>
  </si>
  <si>
    <t>Covers the Year 1 loss. Cradle CIP Spark offers up to RM150,000 (conditional grant) [R16].</t>
  </si>
  <si>
    <t>Solar cover check</t>
  </si>
  <si>
    <t>Tenant's avoided grid rate</t>
  </si>
  <si>
    <t>Assumption: avoided energy cost for a mall on the medium-voltage tariff (energy charge 29.83 sen/kWh plus part of the demand charge) [R6].</t>
  </si>
  <si>
    <t>PPA discount vs grid</t>
  </si>
  <si>
    <t>Assumption: power sold about 15% below the grid rate.</t>
  </si>
  <si>
    <t>Solar O&amp;M</t>
  </si>
  <si>
    <t>% of capex a year</t>
  </si>
  <si>
    <t>Solar insurance</t>
  </si>
  <si>
    <t>Asset management fee on solar revenue</t>
  </si>
  <si>
    <t>% of revenue</t>
  </si>
  <si>
    <t>Investment example and limits per resident</t>
  </si>
  <si>
    <t>Example investment per resident (Investor_ROI 5-year view)</t>
  </si>
  <si>
    <t>Illustration only.</t>
  </si>
  <si>
    <t>Solar pool: minimum investment</t>
  </si>
  <si>
    <t>Low entry so more residents can join (inclusivity).</t>
  </si>
  <si>
    <t>Solar pool: maximum investment</t>
  </si>
  <si>
    <t>Inside the retail limit of RM10,000 per issuer [R17] and RM50,000 in 12 months [R18]; each pool is a separate issuer. Smaller caps spread each pool across more residents.</t>
  </si>
  <si>
    <t>Upgrade pool: minimum investment</t>
  </si>
  <si>
    <t>Same entry level for all pools.</t>
  </si>
  <si>
    <t>Upgrade pool: maximum investment</t>
  </si>
  <si>
    <t>Lower than solar because shop default risk is higher.</t>
  </si>
  <si>
    <t>EV pool: minimum investment</t>
  </si>
  <si>
    <t>EV pool: maximum investment</t>
  </si>
  <si>
    <t>Smallest cap: capital is not guaranteed. In the worst case (EV_Pilot column M) a resident loses about 60%, about RM300 at this cap.</t>
  </si>
  <si>
    <t>EV electricity cost, all-in (energy + capacity + network)</t>
  </si>
  <si>
    <t>Formula = rows 130 + 103 + 131 = 27.03 + 8.83 + 14.82 sen = 50.7 sen/kWh, low-voltage non-domestic tariff, 1 Jul 2025 – 31 Dec 2027 [R6]. AFA surcharge not included (tested by the +20% stress).</t>
  </si>
  <si>
    <t>of which capacity charge</t>
  </si>
  <si>
    <t>On the low-voltage tariff the capacity charge is billed per kWh and is already inside row 102 [R6]. A mall on the medium-voltage tariff pays a maximum-demand charge instead (row 141, EV_Pilot sensitivity).</t>
  </si>
  <si>
    <t>MARii EVCS grant (DC chargers only)</t>
  </si>
  <si>
    <t>% of unit cost</t>
  </si>
  <si>
    <t>MARii EVCS Development Programme: matching grant up to 50% per charging unit, max RM50,000 per unit and RM500,000 per company; aimed mainly at automotive industry players, especially Bumiputera companies [R15]. The CPO partner applies. The conservative case assumes no grant.</t>
  </si>
  <si>
    <t>Charging sessions per charger per day (normal)</t>
  </si>
  <si>
    <t>sessions/day</t>
  </si>
  <si>
    <t>Assumption. Conservative: 1.5 (Pools_Scenarios).</t>
  </si>
  <si>
    <t>Average energy per session (normal)</t>
  </si>
  <si>
    <t>kWh/session</t>
  </si>
  <si>
    <t>Assumption. Conservative: 20 (Pools_Scenarios).</t>
  </si>
  <si>
    <t>Regulatory compliance cost per site (one-off)</t>
  </si>
  <si>
    <t>RM/site</t>
  </si>
  <si>
    <t>Assumption: approved equipment and installation under the Energy Commission's Guidelines on EV Charging Systems (17 Mar 2025) [R9], plus local council approval. Shared over chargers per site (row 128).</t>
  </si>
  <si>
    <t>Yearly compliance audit per site</t>
  </si>
  <si>
    <t>RM/yr/site</t>
  </si>
  <si>
    <t>Solar asset operating model</t>
  </si>
  <si>
    <t>JV owns &amp; runs</t>
  </si>
  <si>
    <t>text</t>
  </si>
  <si>
    <t>Residents' money is pooled through the licensed platform; the asset is owned and run by the SDP × GSPARX joint venture [R1]. Tenants, malls and factories pay for the power, and residents' payouts are paid first. Different from SDP's CREAM roof-leasing project, where homeowners rent out their roofs [R4].</t>
  </si>
  <si>
    <t>CREAM community access charge (only if power is sold through the grid)</t>
  </si>
  <si>
    <t>Cut from 15 to 9 sen/kWh [R8]. Not applied in the base case: our solar power is used on site, so no grid access charge.</t>
  </si>
  <si>
    <t>Residents' share of each solar asset (normal)</t>
  </si>
  <si>
    <t>Row 18 links here.</t>
  </si>
  <si>
    <t>Residents' share of each solar asset (conservative)</t>
  </si>
  <si>
    <t>Used by Pools_Scenarios. Smaller share = less money raised, payouts better covered.</t>
  </si>
  <si>
    <t>Ownership statement for investors</t>
  </si>
  <si>
    <t>Payouts first</t>
  </si>
  <si>
    <t>The asset funded by residents' money is run by the developer/JV, and power income pays residents' payouts before anything else. Residents earn a return on money, not rent for roof space.</t>
  </si>
  <si>
    <t>EV detail: charger mix, prices, costs, profit split and top-up (used by EV_Pilot)</t>
  </si>
  <si>
    <t>Share of chargers that are DC 60 kW</t>
  </si>
  <si>
    <t>Pilot site = 1 DC 60 kW (mall visitors) + 1 AC 22 kW (residents and staff at night).</t>
  </si>
  <si>
    <t>DC 60 kW installed cost</t>
  </si>
  <si>
    <t>Assumption: includes grid upgrade, transformer share, civil works, TNB application and permits.</t>
  </si>
  <si>
    <t>AC 22 kW installed cost</t>
  </si>
  <si>
    <t>AC 22 kW standard charging price</t>
  </si>
  <si>
    <t>ChargEV at AEON Mall Cheras Selatan, Jul 2026: 22 kW AC RM1.00/kWh [R24].</t>
  </si>
  <si>
    <t>DC peak-hour price</t>
  </si>
  <si>
    <t>Our pricing design for peak hours.</t>
  </si>
  <si>
    <t>Share of DC energy sold at peak price</t>
  </si>
  <si>
    <t>Assumption (weekend and evening mall visits).</t>
  </si>
  <si>
    <t>AC off-peak price (residents' overnight plan)</t>
  </si>
  <si>
    <t>Our pricing design for the residents' overnight plan.</t>
  </si>
  <si>
    <t>Share of AC energy sold at off-peak price</t>
  </si>
  <si>
    <t>Idle (occupancy) fee</t>
  </si>
  <si>
    <t>RM/min</t>
  </si>
  <si>
    <t>Our pricing design (charged after a 15-minute grace period).</t>
  </si>
  <si>
    <t>Billed idle minutes per charger per day (normal)</t>
  </si>
  <si>
    <t>min/day</t>
  </si>
  <si>
    <t>Assumption. Conservative: 5.</t>
  </si>
  <si>
    <t>Resident EV membership fee</t>
  </si>
  <si>
    <t>Our design (gives the off-peak AC plan).</t>
  </si>
  <si>
    <t>Paying members per charger (normal)</t>
  </si>
  <si>
    <t>members</t>
  </si>
  <si>
    <t>AC 22 kW maintenance and CPO service fee</t>
  </si>
  <si>
    <t>Assumption: maintenance plus the CPO's service.</t>
  </si>
  <si>
    <t>Chargers per site</t>
  </si>
  <si>
    <t>chargers</t>
  </si>
  <si>
    <t>Pilot site: 1 DC + 1 AC. Site costs (rows 107–108) are shared.</t>
  </si>
  <si>
    <t>MARii grant cap per charging unit</t>
  </si>
  <si>
    <t>[R15].</t>
  </si>
  <si>
    <t>Energy charge (LV non-domestic)</t>
  </si>
  <si>
    <t>[R6].</t>
  </si>
  <si>
    <t>Network charge (LV non-domestic)</t>
  </si>
  <si>
    <t>Residents' part of residents' charging profit</t>
  </si>
  <si>
    <t>Split of residents' charging profit: residents 70%, developer 10% (row 36), platform 10%, O&amp;M reserve 10%.</t>
  </si>
  <si>
    <t>Platform's part of residents' charging profit</t>
  </si>
  <si>
    <t>See row 132.</t>
  </si>
  <si>
    <t>O&amp;M reserve part of residents' charging profit</t>
  </si>
  <si>
    <t>Held by the CPO for repairs and downtime; unused reserve goes back to residents at the end (row 136).</t>
  </si>
  <si>
    <t>Developer and platform shares wait until residents get their money back (1 = yes)</t>
  </si>
  <si>
    <t>switch</t>
  </si>
  <si>
    <t>With the 70% split from day 1, the normal 7-year EV return is about 1% a year (EV_Pilot column L). Deferring the two 10% shares lifts it to about 7%.</t>
  </si>
  <si>
    <t>Share of the O&amp;M reserve returned to residents at the end</t>
  </si>
  <si>
    <t>Assumption: half is used on repairs.</t>
  </si>
  <si>
    <t>EV payback period</t>
  </si>
  <si>
    <t>The whole charger pays back in about 5 years in the normal case (EV_Pilot); residents are repaid over 7.</t>
  </si>
  <si>
    <t>Share of the top-up paid by the platform (us)</t>
  </si>
  <si>
    <t>See row 76.</t>
  </si>
  <si>
    <t>Share of the top-up paid by the CPO</t>
  </si>
  <si>
    <t>Formula = 1 − developer − platform.</t>
  </si>
  <si>
    <t>Top-up cap per charger per year (all partners together)</t>
  </si>
  <si>
    <t>Smallest round cap that keeps the conservative EV loss under 50% when the grant is not approved (needs at least RM2,500).</t>
  </si>
  <si>
    <t>Maximum-demand charge if the site is on the medium-voltage tariff</t>
  </si>
  <si>
    <t>RM/kW/month</t>
  </si>
  <si>
    <t>MV General: capacity RM29.43 + network RM59.84 per kW of maximum demand a month [R6]. Sensitivity only.</t>
  </si>
  <si>
    <t>kW a charger adds to the mall's monthly peak (if not load-managed)</t>
  </si>
  <si>
    <t>kW</t>
  </si>
  <si>
    <t>Assumption for the sensitivity only; load management should keep this near zero.</t>
  </si>
  <si>
    <t>Funding and incentives (information; only the MARii grant and the Cradle grant enter the numbers)</t>
  </si>
  <si>
    <t>Green Investment Tax Allowance (GITA) for charge point operators</t>
  </si>
  <si>
    <t>CPO benefit</t>
  </si>
  <si>
    <t>100% investment tax allowance for 5 years for qualifying charge point operators [R13]. Helps the CPO partner; not modelled for us.</t>
  </si>
  <si>
    <t>Income tax exemption for EV charging equipment makers</t>
  </si>
  <si>
    <t>Not for us</t>
  </si>
  <si>
    <t>Full exemption on statutory income 2023–2032 for EV charging equipment makers [R13]. We do not manufacture.</t>
  </si>
  <si>
    <t>Individual tax relief for EV charging facilities</t>
  </si>
  <si>
    <t>Up to RM2,500 a year until 2027 for installing, renting or buying EV charging equipment [R14]. Marketing point; not in our numbers.</t>
  </si>
  <si>
    <t>Licensed platform (RMO) fee: the market operator that holds residents' money charges the issuer, not us</t>
  </si>
  <si>
    <t>RMO success fee on money raised</t>
  </si>
  <si>
    <t>pitchIN issuer schedule: 7% up to RM3m, 6% for RM3–5m, 5% for RM5–10m, plus 8% SST [R19]. Year-1 raise per SDP-size client is about RM3m, so 6%. Paid by the issuer (JV / asset SPV) out of the money raised. Separate from our own 0.75% success fee.</t>
  </si>
  <si>
    <t>SST on the RMO fee</t>
  </si>
  <si>
    <t>[R19].</t>
  </si>
  <si>
    <t>Share of the RMO fee borne by the developer</t>
  </si>
  <si>
    <t>The JV / asset SPV carries the other half; to be agreed with the JV. Conservative: developer pays 100%.</t>
  </si>
  <si>
    <t>Years over which the developer's RMO fee cost is spread</t>
  </si>
  <si>
    <t>The fee is deducted from the money raised, so it is a financing cost spread over the payout period, like a loan arrangement fee. Customer_ROI row 29 shows Year 1 if it were paid upfront.</t>
  </si>
  <si>
    <t>Yearly inputs – pool numbers are per client, by the client's year on the platform (Y1–Y5)</t>
  </si>
  <si>
    <t>Y1</t>
  </si>
  <si>
    <t>Y2</t>
  </si>
  <si>
    <t>Y3</t>
  </si>
  <si>
    <t>Y4</t>
  </si>
  <si>
    <t>Y5</t>
  </si>
  <si>
    <t>New solar capacity with a resident share, per client</t>
  </si>
  <si>
    <t>MW</t>
  </si>
  <si>
    <t>By the client's year on the platform. Reaches 20 MW in 5 years, in line with the SDP × GSPARX joint venture target of 20 MW in 5 years [R1].</t>
  </si>
  <si>
    <t>New shops upgraded, per client</t>
  </si>
  <si>
    <t>shops</t>
  </si>
  <si>
    <t>By the client's year. SDP's three malls: KL East Mall, Elmina Lakeside Mall and KLGCC Mall [R2]. Only high-energy shops with 3+ years left on lease qualify.</t>
  </si>
  <si>
    <t>New EV chargers, per client</t>
  </si>
  <si>
    <t>By the client's year. Start with a 1–2 charger pilot and expand only after 12 months of usage data. High-traffic sites only.</t>
  </si>
  <si>
    <t>Community-programme saving from digital sign-ups, QR check-ins and auto reports</t>
  </si>
  <si>
    <t>% of programme spend</t>
  </si>
  <si>
    <t>Assumption, half in the first year. Half of this is guaranteed in the contract (rows 64–68).</t>
  </si>
  <si>
    <t>New developer clients signed (calendar year)</t>
  </si>
  <si>
    <t>clients</t>
  </si>
  <si>
    <t>Y1 = SDP. Later: other township developers. Sign letters of intent in Year 1 for Year 2 clients.</t>
  </si>
  <si>
    <t>Size of clients joining this year vs SDP</t>
  </si>
  <si>
    <t>x SDP</t>
  </si>
  <si>
    <t>Assumption: later clients are 60% of SDP's size.</t>
  </si>
  <si>
    <t>Extra developers on payroll (calendar year)</t>
  </si>
  <si>
    <t>Hire only once revenue allows.</t>
  </si>
  <si>
    <t>Part-time support and operations (calendar year)</t>
  </si>
  <si>
    <t>Pools – what happens inside one client (SDP size), by the client's year on the platform</t>
  </si>
  <si>
    <t>Money raised, money still invested, payouts and impact for the three pools (other clients are scaled from this). Conservative stress inputs are in the table from row 81.</t>
  </si>
  <si>
    <t>Item</t>
  </si>
  <si>
    <t>Year 1</t>
  </si>
  <si>
    <t>Year 2</t>
  </si>
  <si>
    <t>Year 3</t>
  </si>
  <si>
    <t>Year 4</t>
  </si>
  <si>
    <t>Year 5</t>
  </si>
  <si>
    <t>Timing factors (money is raised mid-year on average)</t>
  </si>
  <si>
    <t>Year since money was raised</t>
  </si>
  <si>
    <t>Solar: share of money still owed at year end</t>
  </si>
  <si>
    <t>Solar: average share still invested</t>
  </si>
  <si>
    <t>Payout timing (half year in first year)</t>
  </si>
  <si>
    <t>Upgrades: share still owed at year end</t>
  </si>
  <si>
    <t>Upgrades: average share still invested</t>
  </si>
  <si>
    <t>Upgrades: share of year a shop is repaying</t>
  </si>
  <si>
    <t>EV: average share still invested (paid back evenly over the EV payback period)</t>
  </si>
  <si>
    <t>EV: share of money paid back in the year</t>
  </si>
  <si>
    <t>Pool 1 – Rooftop solar</t>
  </si>
  <si>
    <t>New solar capacity with resident share</t>
  </si>
  <si>
    <t>Money raised from residents</t>
  </si>
  <si>
    <t>Residents' money still invested (average)</t>
  </si>
  <si>
    <t>Yearly payment per RM1 raised</t>
  </si>
  <si>
    <t>factor</t>
  </si>
  <si>
    <t>Payouts to residents</t>
  </si>
  <si>
    <t>Solar capacity running (average)</t>
  </si>
  <si>
    <t>Solar power produced</t>
  </si>
  <si>
    <t>MWh</t>
  </si>
  <si>
    <t>CO2 avoided by solar</t>
  </si>
  <si>
    <t>tCO2e</t>
  </si>
  <si>
    <t>New shops upgraded</t>
  </si>
  <si>
    <t>Shops repaying (shop-years)</t>
  </si>
  <si>
    <t>shop-yrs</t>
  </si>
  <si>
    <t>Yearly payout per shop to residents</t>
  </si>
  <si>
    <t>Safety margin per shop-year (repayment counted − payout)</t>
  </si>
  <si>
    <t>Savings shops keep</t>
  </si>
  <si>
    <t>Electricity saved</t>
  </si>
  <si>
    <t>CO2 avoided by upgrades</t>
  </si>
  <si>
    <t>Pool 3 – EV charging</t>
  </si>
  <si>
    <t>New EV chargers</t>
  </si>
  <si>
    <t>Money raised from residents (net cost after grant × residents' share)</t>
  </si>
  <si>
    <t>Chargers running (charger-years)</t>
  </si>
  <si>
    <t>chg-yrs</t>
  </si>
  <si>
    <t>Net charging profit per charger-year (blended DC/AC, from EV_Pilot)</t>
  </si>
  <si>
    <t>Residents' share of charging profit (their 50%, before the 70/10/10/10 split)</t>
  </si>
  <si>
    <t>Payouts to residents (incl. usage top-up)</t>
  </si>
  <si>
    <t>Residents' EV money paid back</t>
  </si>
  <si>
    <t>All pools – totals for one SDP-size client</t>
  </si>
  <si>
    <t>Spent at the developer's malls (incl. bonus)</t>
  </si>
  <si>
    <t>Resident investments made (count, at average ticket)</t>
  </si>
  <si>
    <t>count</t>
  </si>
  <si>
    <t>Residents' profit earned (after expected shop losses)</t>
  </si>
  <si>
    <t>CO2 avoided by assets residents co-fund (solar + upgrades)</t>
  </si>
  <si>
    <t>Note: timing factors are simple approximations (money raised mid-year; solar and upgrades repaid monthly; EV money returned from charging profit, not guaranteed).</t>
  </si>
  <si>
    <t>Guarantees, expected losses and certificates</t>
  </si>
  <si>
    <t>Repayment counted per shop-month (higher of actual or guaranteed saving × repay share)</t>
  </si>
  <si>
    <t>Expected default loss per shop-year</t>
  </si>
  <si>
    <t>Bad-debt reserve per shop-year (unused half of margin)</t>
  </si>
  <si>
    <t>Residents' uncovered loss on upgrades</t>
  </si>
  <si>
    <t>kWh sold per charger-day (after downtime)</t>
  </si>
  <si>
    <t>kWh</t>
  </si>
  <si>
    <t>usage top-up per charger-year (after cap)</t>
  </si>
  <si>
    <t>usage top-up paid to residents (developer + platform + CPO)</t>
  </si>
  <si>
    <t>Solar MWh from the residents' share (for certificates)</t>
  </si>
  <si>
    <t>EV: who is paid while residents recover their money</t>
  </si>
  <si>
    <t>EV: charger-year factor while residents recover (by age)</t>
  </si>
  <si>
    <t>EV: charger-year factor after residents recover (by age)</t>
  </si>
  <si>
    <t>EV charger-years while residents recover</t>
  </si>
  <si>
    <t>EV charger-years after residents recover</t>
  </si>
  <si>
    <t>Developer's 10% share of residents' EV profit (paid after recovery if deferral is on)</t>
  </si>
  <si>
    <t>Developer's part of the usage top-up</t>
  </si>
  <si>
    <t>Platform's 10% share of residents' EV profit (paid after recovery if deferral is on)</t>
  </si>
  <si>
    <t>Platform's part of the usage top-up</t>
  </si>
  <si>
    <t>Licensed platform (RMO) fee, spread over the payout period</t>
  </si>
  <si>
    <t>Share of each raise's RMO fee counted in the year (by age)</t>
  </si>
  <si>
    <t>Money raised whose RMO fee is counted this year</t>
  </si>
  <si>
    <t>RMO fee cost borne by the developer (spread)</t>
  </si>
  <si>
    <t>Conservative scenario – stress inputs (drive the hidden C_ sheets and the conservative checks on Summary)</t>
  </si>
  <si>
    <t>Stressed input</t>
  </si>
  <si>
    <t>Change</t>
  </si>
  <si>
    <t>Why</t>
  </si>
  <si>
    <t>Community saving actually achieved</t>
  </si>
  <si>
    <t>Benefit E fails completely.</t>
  </si>
  <si>
    <t>EV energy sold per charger per day (kWh) = sessions × kWh per session</t>
  </si>
  <si>
    <t>Half the normal usage (rows 93–94).</t>
  </si>
  <si>
    <t>Bill saving per shop (RM/month)</t>
  </si>
  <si>
    <t>Upgrades save half as much.</t>
  </si>
  <si>
    <t>New developer clients signed in Year 2</t>
  </si>
  <si>
    <t>Only one new client in Year 2.</t>
  </si>
  <si>
    <t>Developer's share of solar funding saving</t>
  </si>
  <si>
    <t>Weaker JV terms.</t>
  </si>
  <si>
    <t>Higher required return.</t>
  </si>
  <si>
    <t>Competitor price drop (all charging prices)</t>
  </si>
  <si>
    <t>Price war: all prices 20% lower.</t>
  </si>
  <si>
    <t>Size of new clients vs SDP (Years 2–5)</t>
  </si>
  <si>
    <t>Smaller developers sign up.</t>
  </si>
  <si>
    <t>Shop default rate (a year)</t>
  </si>
  <si>
    <t>Five times more shop defaults.</t>
  </si>
  <si>
    <t>Extra developers hired in Year 3 (our response, not a stress)</t>
  </si>
  <si>
    <t>Delay the hire when fewer clients sign.</t>
  </si>
  <si>
    <t>EV: charging sessions per charger per day</t>
  </si>
  <si>
    <t>1.5 sessions × 20 kWh = 30 kWh/day.</t>
  </si>
  <si>
    <t>EV: average kWh per session</t>
  </si>
  <si>
    <t>Smaller top-ups.</t>
  </si>
  <si>
    <t>EV: electricity cost increase</t>
  </si>
  <si>
    <t>Tariff or AFA surcharge up 20%.</t>
  </si>
  <si>
    <t>EV: maintenance cost increase</t>
  </si>
  <si>
    <t>Repairs and parts 50% dearer.</t>
  </si>
  <si>
    <t>EV: charger downtime</t>
  </si>
  <si>
    <t>Chargers out of service 10% of the time.</t>
  </si>
  <si>
    <t>EV: MARii grant approved (1 = yes, 0 = no)</t>
  </si>
  <si>
    <t>Grant not approved; residents and CPO fund the full DC cost.</t>
  </si>
  <si>
    <t>EV: billed idle minutes per charger per day</t>
  </si>
  <si>
    <t>Half the idle-fee income.</t>
  </si>
  <si>
    <t>EV: paying members per charger</t>
  </si>
  <si>
    <t>Half the membership income.</t>
  </si>
  <si>
    <t>Solar: residents' share of each solar asset</t>
  </si>
  <si>
    <t>Assumptions row 112.</t>
  </si>
  <si>
    <t>Top of the pitchIN schedule (raises under RM3m).</t>
  </si>
  <si>
    <t>JV refuses to share the fee.</t>
  </si>
  <si>
    <t>Charging price after drop (RM/kWh)</t>
  </si>
  <si>
    <t>EV_Pilot – one charger's economics, who gets the money, and stress tests</t>
  </si>
  <si>
    <t>Each column is a case. B = normal, C = conservative (all stresses together, from Pools_Scenarios). D–K change one thing from normal. L removes the deferral, M is the worst case, N removes the top-up. Every cell is a formula.</t>
  </si>
  <si>
    <t>Conservative (all stresses)</t>
  </si>
  <si>
    <t>Tariff +20%</t>
  </si>
  <si>
    <t>Maintenance +50%</t>
  </si>
  <si>
    <t>Downtime 10%</t>
  </si>
  <si>
    <t>Price −20%</t>
  </si>
  <si>
    <t>Grant not approved</t>
  </si>
  <si>
    <t>Usage 30 kWh/day</t>
  </si>
  <si>
    <t>No idle or membership fees</t>
  </si>
  <si>
    <t>Mall MV demand charge</t>
  </si>
  <si>
    <t>Normal, no deferral (70% split from day 1)</t>
  </si>
  <si>
    <t>WORST CASE: RM1.00/kWh, tariff +30%, 20 kWh/day, no grant, CPO exits</t>
  </si>
  <si>
    <t>Conservative, no top-up</t>
  </si>
  <si>
    <t>Unit / how</t>
  </si>
  <si>
    <t>Usage and prices</t>
  </si>
  <si>
    <t>Charging sessions per charger per day</t>
  </si>
  <si>
    <t>sessions</t>
  </si>
  <si>
    <t>Energy per session</t>
  </si>
  <si>
    <t>Downtime</t>
  </si>
  <si>
    <t>% of time</t>
  </si>
  <si>
    <t>Price level (1 − competitor price drop)</t>
  </si>
  <si>
    <t>DC average price (standard + peak)</t>
  </si>
  <si>
    <t>AC average price (standard + off-peak)</t>
  </si>
  <si>
    <t>Electricity cost per kWh (energy + capacity + network)</t>
  </si>
  <si>
    <t>Maximum-demand charge per kW (only if the site is on the MV tariff)</t>
  </si>
  <si>
    <t>DC 60 kW charger (per year)</t>
  </si>
  <si>
    <t>Installed cost</t>
  </si>
  <si>
    <t>MARii grant (if approved)</t>
  </si>
  <si>
    <t>Compliance cost share (per site ÷ chargers per site)</t>
  </si>
  <si>
    <t>Net installed cost</t>
  </si>
  <si>
    <t>Charging revenue</t>
  </si>
  <si>
    <t>Idle (occupancy) fees</t>
  </si>
  <si>
    <t>Membership fees</t>
  </si>
  <si>
    <t>Electricity (incl. capacity and network charges)</t>
  </si>
  <si>
    <t>Maximum-demand charge (MV sites only)</t>
  </si>
  <si>
    <t>Maintenance and CPO service fee</t>
  </si>
  <si>
    <t>Compliance audit share</t>
  </si>
  <si>
    <t>Net charging profit</t>
  </si>
  <si>
    <t>Revenue per charger per day</t>
  </si>
  <si>
    <t>RM/day</t>
  </si>
  <si>
    <t>AC 22 kW charger (per year)</t>
  </si>
  <si>
    <t>Blended charger (DC share × DC + AC share × AC)</t>
  </si>
  <si>
    <t>Net installed cost after grant</t>
  </si>
  <si>
    <t>Government grant received</t>
  </si>
  <si>
    <t>Electricity cost per charger per day (incl. capacity charge and any MV demand charge)</t>
  </si>
  <si>
    <t>Net charging profit per charger</t>
  </si>
  <si>
    <t>Whole-charger payback</t>
  </si>
  <si>
    <t>Who gets the profit (per charger per year)</t>
  </si>
  <si>
    <t>Residents' money in one charger</t>
  </si>
  <si>
    <t>Residents' share of profit (their 50%)</t>
  </si>
  <si>
    <t>CPO's share of profit (its 50%; it also earns the service fee)</t>
  </si>
  <si>
    <t>To residents while they recover their money</t>
  </si>
  <si>
    <t>To residents after they recover their money</t>
  </si>
  <si>
    <t>Developer share (paid after recovery if deferral is on)</t>
  </si>
  <si>
    <t>Platform share (paid after recovery if deferral is on)</t>
  </si>
  <si>
    <t>O&amp;M reserve</t>
  </si>
  <si>
    <t>Usage top-up (partners pay for missing kWh below the minimum, up to a cap)</t>
  </si>
  <si>
    <t>Missing kWh per day below the minimum</t>
  </si>
  <si>
    <t>Contract top-up rate (normal margin per kWh, fixed in contract)</t>
  </si>
  <si>
    <t>Top-up before cap (residents' part)</t>
  </si>
  <si>
    <t>Top-up paid (after cap; CPO part missing if the CPO exits)</t>
  </si>
  <si>
    <t>paid by developer</t>
  </si>
  <si>
    <t>paid by platform (us)</t>
  </si>
  <si>
    <t>paid by CPO</t>
  </si>
  <si>
    <t>Residents: cash for every RM1,000 invested</t>
  </si>
  <si>
    <t>Cash a year while recovering money (incl. top-up)</t>
  </si>
  <si>
    <t>Cash a year after recovering money (incl. top-up)</t>
  </si>
  <si>
    <t>Reserve returned at the end</t>
  </si>
  <si>
    <t>Years to recover money</t>
  </si>
  <si>
    <t>Year 0 (invest)</t>
  </si>
  <si>
    <t>Year 6</t>
  </si>
  <si>
    <t>Year 7</t>
  </si>
  <si>
    <t>Year 8</t>
  </si>
  <si>
    <t>Year 9</t>
  </si>
  <si>
    <t>Year 10</t>
  </si>
  <si>
    <t>Total received over the payback period</t>
  </si>
  <si>
    <t>Money back (share of what was invested)</t>
  </si>
  <si>
    <t>Loss over the payback period (target: no worse than 50%)</t>
  </si>
  <si>
    <t>Residents' return a year (IRR)</t>
  </si>
  <si>
    <t>Year-1 cash return (cash ÷ invested)</t>
  </si>
  <si>
    <t>Developer, platform and CPO (per charger per year)</t>
  </si>
  <si>
    <t>Developer net while residents recover (share − top-up)</t>
  </si>
  <si>
    <t>Developer net after residents recover</t>
  </si>
  <si>
    <t>Platform net while residents recover (share − top-up)</t>
  </si>
  <si>
    <t>Platform net after residents recover</t>
  </si>
  <si>
    <t>CPO: profit share + service fee − top-up</t>
  </si>
  <si>
    <t>CPO earns the service fee to cover its own crews and parts; shown for context</t>
  </si>
  <si>
    <t>How to read: a charger costs about RM45,000 after the grant; residents fund half and the CPO funds half. Profit is shared 50/50 by funding, then residents' half is split 70/10/10/10.</t>
  </si>
  <si>
    <t>Normal: the whole charger pays back in about 5 years, so a 7-year resident payback gives a single-digit return. EV is the thinnest pool: keep it small (RM500 cap per resident, 1–2 chargers a year).</t>
  </si>
  <si>
    <t>Top-up: if a charger sells less than 60 kWh/day, the developer (33%), platform (33%) and CPO (34%) pay residents for the missing kWh at the normal contract margin, capped at RM3,000 per charger a year. It does not cover price wars or cost rises.</t>
  </si>
  <si>
    <t>Losses: payouts never go below zero. Operating losses stay with the asset; a charger that keeps losing money should be moved or switched off by the CPO.</t>
  </si>
  <si>
    <t>WORST CASE (column M): loss is above 50%. This is why the EV pool is capped at RM500 per resident: the most a resident can lose is about RM300. If the CPO exits, a replacement operator is assumed to keep the chargers running; the CPO's 34% of the top-up is lost.</t>
  </si>
  <si>
    <t>The 'Mall MV demand charge' column assumes each charger adds 10 kW to the mall's peak with no load management. The CPO's load management must prevent this.</t>
  </si>
  <si>
    <t>1) Benefits – value created for the developer (customer)</t>
  </si>
  <si>
    <t>Top: one SDP-size client by its year on the platform. Bottom: all clients together by calendar year.</t>
  </si>
  <si>
    <t>Benefit</t>
  </si>
  <si>
    <t>How it is worked out</t>
  </si>
  <si>
    <t>One SDP-size client (by client's year)</t>
  </si>
  <si>
    <t>A. Cheaper money for solar</t>
  </si>
  <si>
    <t>Residents' solar money × ((8.5% − 5%) × developer's JV share + JV arrangement fee)</t>
  </si>
  <si>
    <t>B. Fee from shop upgrades</t>
  </si>
  <si>
    <t>Shop-years × positive safety margin × developer's share</t>
  </si>
  <si>
    <t>C. Developer's EV share, less its part of the usage top-up</t>
  </si>
  <si>
    <t>10% of residents' EV profit (paid after residents recover) − developer's 33% of any top-up</t>
  </si>
  <si>
    <t>D. Extra mall rent</t>
  </si>
  <si>
    <t>Money spent at malls × turnover rent</t>
  </si>
  <si>
    <t>Cash benefits (A to D, plus F, less G)</t>
  </si>
  <si>
    <t>E. Community-programme saving (actually achieved)</t>
  </si>
  <si>
    <t>Programme spend × saving rate × share achieved</t>
  </si>
  <si>
    <t>Total benefit for one SDP-size client</t>
  </si>
  <si>
    <t>Value to residents and shops (one SDP-size client, not counted in developer ROI)</t>
  </si>
  <si>
    <t>Residents' profit earned</t>
  </si>
  <si>
    <t>Payout profit on money invested, after expected shop losses</t>
  </si>
  <si>
    <t>20% of savings during repayment</t>
  </si>
  <si>
    <t>CO2 avoided (tCO2e)</t>
  </si>
  <si>
    <t>Solar + upgrades</t>
  </si>
  <si>
    <t>All clients together (by calendar year)</t>
  </si>
  <si>
    <t>Developer clients on the platform</t>
  </si>
  <si>
    <t>Cumulative clients signed</t>
  </si>
  <si>
    <t>Cash benefits (A to D, plus F), all clients</t>
  </si>
  <si>
    <t>Community-programme saving, all clients</t>
  </si>
  <si>
    <t>Total benefits, all clients</t>
  </si>
  <si>
    <t>Money raised from residents, all clients</t>
  </si>
  <si>
    <t>Resident investments made, all clients (count)</t>
  </si>
  <si>
    <t>Residents' profit, all clients</t>
  </si>
  <si>
    <t>CO2 avoided, all clients (tCO2e)</t>
  </si>
  <si>
    <t>Benefit A only counts the residents' share of each solar asset and only the developer's assumed share of the JV. Benefit E is the least certain; guarantees half of it in the contract (see Pricing_Income credit rows).</t>
  </si>
  <si>
    <t>Certificates and the community-saving guarantee (one SDP-size client)</t>
  </si>
  <si>
    <t>F. Renewable energy certificate (REC) sales, developer's share</t>
  </si>
  <si>
    <t>Residents' share of solar MWh × REC price × USD rate × JV share × (1 − our service fee)</t>
  </si>
  <si>
    <t>Community saving we guarantee in the contract</t>
  </si>
  <si>
    <t>Programme spend × saving rate × guaranteed share</t>
  </si>
  <si>
    <t>Shortfall vs guarantee</t>
  </si>
  <si>
    <t>Guaranteed − achieved (if positive)</t>
  </si>
  <si>
    <t>G. Licensed platform (RMO) fee, developer's share (cost)</t>
  </si>
  <si>
    <t>− raised × RMO fee × (1 + SST) × developer's share, spread over the payout period</t>
  </si>
  <si>
    <t>2) Pricing / Income – what clients pay = what we earn</t>
  </si>
  <si>
    <t>Top: one client by its year on the platform. Bottom: all clients by calendar year. credits refund part of our fees if the community saving falls short.</t>
  </si>
  <si>
    <t>Income line</t>
  </si>
  <si>
    <t>Who pays</t>
  </si>
  <si>
    <t>One client (by client's year). Fixed fees are the same for every client; usage fees scale with client size.</t>
  </si>
  <si>
    <t>Set-up fee (split into Year 1 and Year 2 instalments)</t>
  </si>
  <si>
    <t>Developer</t>
  </si>
  <si>
    <t>Platform fee (waived in Year 1 pilot; billed monthly)</t>
  </si>
  <si>
    <t>Fixed fees</t>
  </si>
  <si>
    <t>Success fee on money raised (waived in Year 1)</t>
  </si>
  <si>
    <t>Developer (from pool)</t>
  </si>
  <si>
    <t>Fee on money still invested (from Year 2)</t>
  </si>
  <si>
    <t>Usage fees paid by developer (SDP size)</t>
  </si>
  <si>
    <t>Fee on mall redemptions (SDP size)</t>
  </si>
  <si>
    <t>Mall shops</t>
  </si>
  <si>
    <t>SDP pays us (fixed + usage − guarantee credit)</t>
  </si>
  <si>
    <t>All clients (by calendar year)</t>
  </si>
  <si>
    <t>Fixed fees (set-up + platform, pro rata to client size)</t>
  </si>
  <si>
    <t>Developers</t>
  </si>
  <si>
    <t>Usage fees (success + invested money)</t>
  </si>
  <si>
    <t>Paid by developers (after guarantee credits)</t>
  </si>
  <si>
    <t>Redemption fees</t>
  </si>
  <si>
    <t>Total income (all income lines)</t>
  </si>
  <si>
    <t>Guarantee credits and new income lines (one client, by client's year)</t>
  </si>
  <si>
    <t>Credit cap (share of that year's developer fees)</t>
  </si>
  <si>
    <t>Guarantee credit to an SDP-size client</t>
  </si>
  <si>
    <t>Credit to developer</t>
  </si>
  <si>
    <t>Guarantee credit to a typical new client</t>
  </si>
  <si>
    <t>Featured offers in rewards catalogue (SDP size)</t>
  </si>
  <si>
    <t>Energy dashboard subscriptions (SDP size)</t>
  </si>
  <si>
    <t>Upgraded shops</t>
  </si>
  <si>
    <t>REC registration and sales service (SDP size)</t>
  </si>
  <si>
    <t>From REC proceeds</t>
  </si>
  <si>
    <t>Guarantee credits – clients signed in Y1</t>
  </si>
  <si>
    <t>Credit to developers</t>
  </si>
  <si>
    <t>Guarantee credits – clients signed in Y2</t>
  </si>
  <si>
    <t>Guarantee credits – clients signed in Y3</t>
  </si>
  <si>
    <t>Guarantee credits – clients signed in Y4</t>
  </si>
  <si>
    <t>Guarantee credits – clients signed in Y5</t>
  </si>
  <si>
    <t>Guarantee credits, all clients</t>
  </si>
  <si>
    <t>Featured offers, all clients</t>
  </si>
  <si>
    <t>Energy dashboards, all clients</t>
  </si>
  <si>
    <t>REC service fees, all clients</t>
  </si>
  <si>
    <t>EV: our 10% share and our part of the usage top-up</t>
  </si>
  <si>
    <t>EV: our 10% share of residents' charging profit (SDP size; after residents recover)</t>
  </si>
  <si>
    <t>From EV pool</t>
  </si>
  <si>
    <t>EV: our 33% part of the usage top-up (cost, SDP size)</t>
  </si>
  <si>
    <t>We pay</t>
  </si>
  <si>
    <t>EV: net (SDP size)</t>
  </si>
  <si>
    <t>EV: net, all clients (can be negative)</t>
  </si>
  <si>
    <t>Developer's benefit minus what the developer pays us (after any guarantee credit). Shops' fees are not counted (shops pay them).</t>
  </si>
  <si>
    <t>Sime Darby Property (first client, full size)</t>
  </si>
  <si>
    <t>Total benefit</t>
  </si>
  <si>
    <t>Paid to us (after guarantee credit)</t>
  </si>
  <si>
    <t>Net gain</t>
  </si>
  <si>
    <t>Cumulative net gain</t>
  </si>
  <si>
    <t>Net gain WITHOUT community-programme saving (cash only, after any credit)</t>
  </si>
  <si>
    <t>Return on what SDP pays (benefit ÷ paid)</t>
  </si>
  <si>
    <t>A typical new developer (smaller client)</t>
  </si>
  <si>
    <t>Checks</t>
  </si>
  <si>
    <t>SDP gains in Year 1?</t>
  </si>
  <si>
    <t>New developer gains in its Year 1?</t>
  </si>
  <si>
    <t>Contract view and extra checks</t>
  </si>
  <si>
    <t>Guarantee credit SDP receives</t>
  </si>
  <si>
    <t>Net gain if community saving only reaches the guaranteed level</t>
  </si>
  <si>
    <t>Guarantee credit a new client receives</t>
  </si>
  <si>
    <t>SDP cash-only net gain &gt; 0 in Year 1?</t>
  </si>
  <si>
    <t>New developer cash-only net gain &gt; 0 in its Year 1?</t>
  </si>
  <si>
    <t>info: SDP net gain if the RMO fee were paid upfront in cash (not spread)</t>
  </si>
  <si>
    <t>Investor_ROI – what one resident gets in Year 1, per RM1,000 invested</t>
  </si>
  <si>
    <t>Normal uses Assumptions; Conservative uses the Pools_Scenarios sheet. Money is held by a licensed platform, never by us. Payouts are monthly.</t>
  </si>
  <si>
    <t>Note</t>
  </si>
  <si>
    <t>Pool 1 – Rooftop solar (low risk): fixed payout backed by tenant power payments, not roof leasing</t>
  </si>
  <si>
    <t>Contract payout rate</t>
  </si>
  <si>
    <t>Minimum payout rate (floor, backed by JV saving)</t>
  </si>
  <si>
    <t>Rate paid in Year 1</t>
  </si>
  <si>
    <t>Average share of money still invested in first 12 months</t>
  </si>
  <si>
    <t>Money is paid back monthly, so less is invested by year end.</t>
  </si>
  <si>
    <t>Year-1 profit per RM1,000</t>
  </si>
  <si>
    <t>Year-1 return</t>
  </si>
  <si>
    <t>Solar cover: tenant power payments ÷ payouts to residents</t>
  </si>
  <si>
    <t>Above 1.3x is comfortable. Per MW, first year.</t>
  </si>
  <si>
    <t>Pool 2 – Shop energy upgrades (medium risk)</t>
  </si>
  <si>
    <t>Year-1 profit per RM1,000 before losses</t>
  </si>
  <si>
    <t>Repayment counted per shop-month (higher of actual or guaranteed saving × 80%)</t>
  </si>
  <si>
    <t>Installer guarantees a minimum saving.</t>
  </si>
  <si>
    <t>Payout due per shop-year</t>
  </si>
  <si>
    <t>Safety margin per shop-year</t>
  </si>
  <si>
    <t>Bad-debt reserve per shop-year</t>
  </si>
  <si>
    <t>Uncovered loss per RM1,000</t>
  </si>
  <si>
    <t>Year-1 profit per RM1,000 after expected losses</t>
  </si>
  <si>
    <t>Pool 3 – EV charging (high risk, not capital-guaranteed; CPO partner runs the chargers)</t>
  </si>
  <si>
    <t>kWh sold per charger per day (after downtime)</t>
  </si>
  <si>
    <t>Usage top-up per charger per year (after cap)</t>
  </si>
  <si>
    <t>Developer 33%, platform 33%, CPO 34%; cap RM3,000.</t>
  </si>
  <si>
    <t>Residents are repaid over 7 years.</t>
  </si>
  <si>
    <t>Cash per RM1,000 a year WITHOUT top-up (while recovering money)</t>
  </si>
  <si>
    <t>Shown for transparency.</t>
  </si>
  <si>
    <t>Cash per RM1,000 a year WITH top-up (while recovering money)</t>
  </si>
  <si>
    <t>Year-1 profit per RM1,000 (cash − money paid back)</t>
  </si>
  <si>
    <t>Money back over the payback period (share of RM invested)</t>
  </si>
  <si>
    <t>Loss over the payback period (if any)</t>
  </si>
  <si>
    <t>Money back without the protection (B: no deferral; C: no top-up)</t>
  </si>
  <si>
    <t>Shows what the protections are worth.</t>
  </si>
  <si>
    <t>Solar Year-1 return &gt; 0?</t>
  </si>
  <si>
    <t>Upgrades Year-1 return &gt; 0?</t>
  </si>
  <si>
    <t>EV loss over the payback period no worse than 50%?</t>
  </si>
  <si>
    <t>5-year view per example investment (used on Summary)</t>
  </si>
  <si>
    <t>Example investment</t>
  </si>
  <si>
    <t>Solar: total received over tenure</t>
  </si>
  <si>
    <t>Solar: 5-year profit</t>
  </si>
  <si>
    <t>Upgrades: share still owed after year 1</t>
  </si>
  <si>
    <t>Upgrades: share still owed after year 2</t>
  </si>
  <si>
    <t>Upgrades: total received over tenure</t>
  </si>
  <si>
    <t>Upgrades: expected uncovered loss over tenure</t>
  </si>
  <si>
    <t>Defaults on money still owed, after the bad-debt reserve.</t>
  </si>
  <si>
    <t>Upgrades: 5-year profit after expected losses</t>
  </si>
  <si>
    <t>Upgrades: rate after expected losses</t>
  </si>
  <si>
    <t>EV: cash received in Year 1 (with top-up)</t>
  </si>
  <si>
    <t>EV: total received over the payback period (7 years)</t>
  </si>
  <si>
    <t>EV: profit / (loss) over the payback period</t>
  </si>
  <si>
    <t>EV: expected rate (IRR, from EV_Pilot)</t>
  </si>
  <si>
    <t>Variable, not guaranteed.</t>
  </si>
  <si>
    <t>3) Spendings – our own cost to build and run the platform (calendar year)</t>
  </si>
  <si>
    <t>Lean team; cloud cost grows with each client. part of Year 1 pay taken as equity.</t>
  </si>
  <si>
    <t>Cost line</t>
  </si>
  <si>
    <t>Clients on the platform</t>
  </si>
  <si>
    <t>From Benefits</t>
  </si>
  <si>
    <t>Founders' pay (cash)</t>
  </si>
  <si>
    <t>People × salary × 12 × (1 + on-cost); Year 1 × cash share</t>
  </si>
  <si>
    <t>Contract developer (build Year 1, cash part)</t>
  </si>
  <si>
    <t>Months × monthly rate × cash share</t>
  </si>
  <si>
    <t>Extra developers</t>
  </si>
  <si>
    <t>People × pay × 12 × (1 + on-cost)</t>
  </si>
  <si>
    <t>Part-time support and operations</t>
  </si>
  <si>
    <t>From Assumptions (yearly table)</t>
  </si>
  <si>
    <t>Cloud (Supabase + Vercel)</t>
  </si>
  <si>
    <t>(Clients × Supabase + seats × Vercel) × 12 × USD rate</t>
  </si>
  <si>
    <t>Security testing</t>
  </si>
  <si>
    <t>Year 1 full test, then yearly retest</t>
  </si>
  <si>
    <t>Legal, PDPA and partner agreements</t>
  </si>
  <si>
    <t>Year 1 set-up, then yearly</t>
  </si>
  <si>
    <t>Sales and onboarding</t>
  </si>
  <si>
    <t>New clients × cost per client (standardised from Year 2)</t>
  </si>
  <si>
    <t>Total spend</t>
  </si>
  <si>
    <t>Non-cash pay taken as equity (not in total spend)</t>
  </si>
  <si>
    <t>Founders' pay taken as equity</t>
  </si>
  <si>
    <t>Year 1 salary × (1 − cash share)</t>
  </si>
  <si>
    <t>Contract pay taken as equity</t>
  </si>
  <si>
    <t>Contract pay × (1 − cash share)</t>
  </si>
  <si>
    <t>ROI – year by year and 5-year summary (calendar years, all clients)</t>
  </si>
  <si>
    <t>5-year total</t>
  </si>
  <si>
    <t>Developer clients</t>
  </si>
  <si>
    <t>Total benefits for developers</t>
  </si>
  <si>
    <t>Paid by developers to us (after credits)</t>
  </si>
  <si>
    <t>Vendor total income (incl. shop and REC fees)</t>
  </si>
  <si>
    <t>Vendor total spend</t>
  </si>
  <si>
    <t>Vendor net profit / (loss)</t>
  </si>
  <si>
    <t>Vendor cumulative net</t>
  </si>
  <si>
    <t>Vendor profit margin</t>
  </si>
  <si>
    <t>Developers' net gain (benefit − paid)</t>
  </si>
  <si>
    <t>5-year summary</t>
  </si>
  <si>
    <t>Our ROI = (income − spend) ÷ spend</t>
  </si>
  <si>
    <t>Vendor return on every RM spent over 5 years.</t>
  </si>
  <si>
    <t>Customer ROI = (benefit − paid) ÷ paid</t>
  </si>
  <si>
    <t>What customers get back for every RM paid to the vendor.</t>
  </si>
  <si>
    <t>First profitable year</t>
  </si>
  <si>
    <t>Year cumulative net turns positive</t>
  </si>
  <si>
    <t>Target: we lose money in Y1?</t>
  </si>
  <si>
    <t>Target: we make money from Y2?</t>
  </si>
  <si>
    <t>Target: SDP gains in its Y1?</t>
  </si>
  <si>
    <t>Net present value (NPV) of our cash flows</t>
  </si>
  <si>
    <t>Year</t>
  </si>
  <si>
    <t>Net cash flow</t>
  </si>
  <si>
    <t>Discount factor</t>
  </si>
  <si>
    <t>Present value</t>
  </si>
  <si>
    <t>NPV</t>
  </si>
  <si>
    <t>NPV brings each year's profit or loss back to today's value using the discount rate on Assumptions (Pools_Scenarios for the conservative copy).</t>
  </si>
  <si>
    <t>Cash plan (grant covers the Year 1 loss)</t>
  </si>
  <si>
    <t>Grant / pre-seed funding received</t>
  </si>
  <si>
    <t>Cash balance at year end</t>
  </si>
  <si>
    <t>Cash stays positive in all 5 years?</t>
  </si>
  <si>
    <t>Developers' NPV of net gain (all clients)</t>
  </si>
  <si>
    <t>Same discount rate as the vendor NPV.</t>
  </si>
  <si>
    <t>Township Green Loop – 5-Year Financial Projection</t>
  </si>
  <si>
    <t>Charts link to ROI, C_ROI and Customer_ROI and update when inputs change.</t>
  </si>
  <si>
    <t>SDP benefit</t>
  </si>
  <si>
    <t>SDP pays us</t>
  </si>
  <si>
    <t>References</t>
  </si>
  <si>
    <t>Numbers in [Rn] across the workbook point here. Official sources (government, regulator, company) wherever one exists. Checked October 2026.</t>
  </si>
  <si>
    <t>Ref</t>
  </si>
  <si>
    <t>What it supports</t>
  </si>
  <si>
    <t>Link</t>
  </si>
  <si>
    <t>R1</t>
  </si>
  <si>
    <t>Sime Darby Property press release, 11 Jul 2024 – joint venture with TNB's GSPARX: 14 assets, up to 4.5 MW initially, 20 MW in 5 years, 50 MW in 15 years</t>
  </si>
  <si>
    <t>https://www.simedarbyproperty.com/sites/default/files/2024-07/20240711-For%20Immediate%20Release-%20Sime%20Darby%20Property%20and%20TNB%20Launch%20Joint%20Venture%20to%20Empower%20Sustainability%20Agenda%20in%20Malaysia.pdf</t>
  </si>
  <si>
    <t>R2</t>
  </si>
  <si>
    <t>Sime Darby Property press release, 23 Jan 2025 – KLGCC Mall, the company's third wholly-owned mall after KL East Mall and Elmina Lakeside Mall; 80+ tenants</t>
  </si>
  <si>
    <t>https://simedarbyproperty.com/sites/default/files/2025-01/20250123%20-%20For%20Immediate%20Release%20-%20Sime%20Darby%20Property%20Welcomes%20Anchor%20Tenants%20to%20New%20KLGCC%20Mall.pdf</t>
  </si>
  <si>
    <t>R3</t>
  </si>
  <si>
    <t>Sime Darby Property – Integrated Report 2024 key highlights (70,000+ beneficiaries; RM20.8 million total economic spend on community programmes and spaces)</t>
  </si>
  <si>
    <t>https://simedarbyproperty.com/annualreport2024/download/sdp-ir2024-key-highlights.pdf</t>
  </si>
  <si>
    <t>R4</t>
  </si>
  <si>
    <t>Sime Darby Property press release, 28 Apr 2025 – first LEGA under CREAM: leases residential rooftops in City of Elmina with TNB's GSPARX</t>
  </si>
  <si>
    <t>https://simedarbyproperty.com/sites/default/files/2025-04/20250428%20-%20For%20Immediate%20Release%20-%20Sime%20Darby%20Property%20Leads%20Nation%E2%80%99s%20First%20Community%20Solar%20Rollout%20Under%20NETR%20with%20TNB.pdf</t>
  </si>
  <si>
    <t>R5</t>
  </si>
  <si>
    <t>Sime Darby Property press release, 12 Aug 2026 – Kanopi Residences topping-off; company operates 28 townships and developments</t>
  </si>
  <si>
    <t>https://www.simedarbyproperty.com/node/1811</t>
  </si>
  <si>
    <t>R6</t>
  </si>
  <si>
    <t>Energy Commission (Suruhanjaya Tenaga) – TNB tariff schedule, 1 Jul 2025 to 31 Dec 2027: LV non-domestic energy 27.03, capacity 8.83, network 14.82 sen/kWh; MV general energy 29.83 sen/kWh, capacity RM29.43/kW, network RM59.84/kW</t>
  </si>
  <si>
    <t>https://myenergystats.st.gov.my/documents/d/guest/tariff-tnb-pdf-1</t>
  </si>
  <si>
    <t>R7</t>
  </si>
  <si>
    <t>Energy Commission – Grid Emission Factor in Malaysia 2022–2024 (provisional)</t>
  </si>
  <si>
    <t>https://myenergystats.st.gov.my/documents/d/guest/grid-emission-factor-gef-in-malaysia-2022-2024-provisional-</t>
  </si>
  <si>
    <t>R8</t>
  </si>
  <si>
    <t>Energy Commission media release – CREAM community access charge cut from 15 to 9 sen/kWh</t>
  </si>
  <si>
    <t>https://www.st.gov.my/contents/2025/CREAM/siaran_mediaeng.pdf</t>
  </si>
  <si>
    <t>R9</t>
  </si>
  <si>
    <t>Energy Commission – Guidelines on Electric Vehicle Charging System (EVCS), 17 Mar 2025 (download listing)</t>
  </si>
  <si>
    <t>https://www.st.gov.my/eng/web/download/listing/150</t>
  </si>
  <si>
    <t>R10</t>
  </si>
  <si>
    <t>Association of Banks in Malaysia – fixed deposit board rates as at 15 Aug 2026</t>
  </si>
  <si>
    <t>https://www.abm.org.my/wp-content/uploads/2026/08/website-FD-Rates-as-at-15-Aug-2026.pdf</t>
  </si>
  <si>
    <t>R11</t>
  </si>
  <si>
    <t>RTM (Radio Televisyen Malaysia) – KWSP declares 6.15% dividend for conventional and Shariah savings for 2025</t>
  </si>
  <si>
    <t>https://berita.rtm.gov.my/niaga/senarai-berita-niaga/senarai-artikel/kwsp-umum-dividen-6-15-untuk-simpanan-konvensional-dan-shariah/</t>
  </si>
  <si>
    <t>R12</t>
  </si>
  <si>
    <t>MIDA – Statutory contributions: EPF 13% (wages up to RM5,000), SOCSO 1.75%, EIS 0.2%</t>
  </si>
  <si>
    <t>https://www.mida.gov.my/setting-up-business/statutory-contributions/</t>
  </si>
  <si>
    <t>R13</t>
  </si>
  <si>
    <t>MIDA, Nov 2024 – EV charging incentives: GITA 100% for 5 years for charge point operators; income tax exemption 2023–2032 for EV charging equipment makers</t>
  </si>
  <si>
    <t>https://www.mida.gov.my/mida-news/government-bolsters-ev-charging-infrastructure-development-with-key-incentives/</t>
  </si>
  <si>
    <t>R14</t>
  </si>
  <si>
    <t>MIDA, Jul 2024 – Going EV: individual tax relief up to RM2,500 a year until 2027 for EV charging equipment</t>
  </si>
  <si>
    <t>https://www.mida.gov.my/mida-news/going-ev-what-the-malaysian-government-is-doing-to-charge-up-the-transition/</t>
  </si>
  <si>
    <t>R15</t>
  </si>
  <si>
    <t>MARii – EVCS Development Programme FAQ: matching grant up to 50% per charging unit, max RM50,000 per unit, RM500,000 per company</t>
  </si>
  <si>
    <t>https://marii.my/wp-content/uploads/2026/04/NEW-FAQ-EVCS.pdf</t>
  </si>
  <si>
    <t>R16</t>
  </si>
  <si>
    <t>Cradle Fund – CIP Spark: conditional grant up to RM150,000 for early-stage tech companies</t>
  </si>
  <si>
    <t>https://cradle.com.my/cip-spark/</t>
  </si>
  <si>
    <t>R17</t>
  </si>
  <si>
    <t>MAICSA technical announcement, Jan 2025 – SC amendments to the Guidelines on Recognized Markets (6 Jan 2025): ECF retail limit per issuer raised from RM5,000 to RM10,000 (para 13.31(c))</t>
  </si>
  <si>
    <t>https://maicsa.org.my/media/9868/technical_announcements_250114_4_2.pdf</t>
  </si>
  <si>
    <t>R18</t>
  </si>
  <si>
    <t>Capital Markets Malaysia (Securities Commission) – Equity crowdfunding: retail investors limited to RM50,000 in a 12-month period</t>
  </si>
  <si>
    <t>https://www.capitalmarketsmalaysia.com/digital-equity-crowdfunding-ecf/</t>
  </si>
  <si>
    <t>R19</t>
  </si>
  <si>
    <t>pitchIN (SC-recognised market operator) – fees for issuers: success fee 7% (≤RM3m), 6% (RM3–5m), 5% (RM5–10m), 4.5%, 4%; plus 8% SST</t>
  </si>
  <si>
    <t>https://www.pitchin.my/learn/raise/types-of-fees-for-issuers</t>
  </si>
  <si>
    <t>R20</t>
  </si>
  <si>
    <t>MAESCO (Malaysian Association of Energy Service Companies) – role of ESCOs in energy-efficiency projects; shared-savings splits 80:20 and 75:25</t>
  </si>
  <si>
    <t>https://ibfimonline.com/wp-content/uploads/2020/09/EE-Sector-Role-of-MAESCO-in-Developing-Financially-Viable-EE-Project-by-MAESCO.pdf</t>
  </si>
  <si>
    <t>R21</t>
  </si>
  <si>
    <t>S&amp;P Global Commodity Insights, 24 Apr 2026 – Malaysian solar I-REC assessed at US$3.45/MWh</t>
  </si>
  <si>
    <t>https://www.spglobal.com/energy/en/news-research/latest-news/energy-transition/042426-malaysian-solar-i-rec-demand-rises-on-afa-expectations-singapore-preference</t>
  </si>
  <si>
    <t>R22</t>
  </si>
  <si>
    <t>Supabase – pricing: Pro from US$25 a month per organisation; free projects pause after 1 week of inactivity</t>
  </si>
  <si>
    <t>https://supabase.com/pricing</t>
  </si>
  <si>
    <t>R23</t>
  </si>
  <si>
    <t>Vercel – Pro plan: US$20 a month platform fee incl. 1 deploying seat; extra seats US$20 a month</t>
  </si>
  <si>
    <t>https://vercel.com/docs/plans/pro-plan</t>
  </si>
  <si>
    <t>R24</t>
  </si>
  <si>
    <t>SoyaCincau, 18 Jul 2026 – ChargEV at AEON Mall Cheras Selatan: 60 kW DC RM1.40/kWh, 180 kW DC RM1.60/kWh, 22 kW AC RM1.00/kWh (news report of operator prices; operators publish prices in-app only)</t>
  </si>
  <si>
    <t>https://soyacincau.com/2026/07/18/chargev-aeon-mall-cheras-selatan-level-2-ev-charger/</t>
  </si>
  <si>
    <t>R25</t>
  </si>
  <si>
    <t>International Journal of Renewable Energy Resources (Universiti Malaya) – economic analysis of a grid-connected BIPV system at UniMAP, Kuala Perlis (313.5 MWh a year from about 216 kWp)</t>
  </si>
  <si>
    <t>https://adab.um.edu.my/index.php/IJRER/article/view/8613</t>
  </si>
  <si>
    <t>Conservative_Test – do the three targets hold under stress?</t>
  </si>
  <si>
    <t>Normal = original sheets. Conservative = C_ sheets, driven by the Pools_Scenarios sheet. Every number is a live formula.</t>
  </si>
  <si>
    <t>Target</t>
  </si>
  <si>
    <t>Pass (normal)</t>
  </si>
  <si>
    <t>Pass (conservative)</t>
  </si>
  <si>
    <t>&gt;0</t>
  </si>
  <si>
    <t>&lt;=50%</t>
  </si>
  <si>
    <t>&gt;=0</t>
  </si>
  <si>
    <t>All checks pass?</t>
  </si>
  <si>
    <t>Minimum changes that make the conservative case pass (already built into the inputs):</t>
  </si>
  <si>
    <t>• Year 1: set-up fee RM20,000 only; success fee waived; platform fee waived (Assumptions rows 38–40, 60–62).</t>
  </si>
  <si>
    <t>• Community saving made contractual: we guarantee 50% of the expected saving and credit back 50% of any shortfall (cap 100% of fees in Year 1, 25% later).</t>
  </si>
  <si>
    <t>• JV passes a 1% a year arrangement fee to the developer on residents' solar money (row 70).</t>
  </si>
  <si>
    <t>• Shop upgrades need an installer contract with a minimum-savings clause (RM800 a month) (row 72).</t>
  </si>
  <si>
    <t>• EV: partners top up to 60 kWh/day (developer 33%, platform 33%, CPO 34%), capped at RM3,000 per charger a year (Assumptions rows 75–76, 138–140).</t>
  </si>
  <si>
    <t>• EV: developer and platform 10% shares wait until residents recover their money (row 135); without this the normal EV return is about 1% a year.</t>
  </si>
  <si>
    <t>• EV: start with 1–2 chargers a year and an RM500 cap per resident, so a weak EV pool cannot hurt the customer or vendor targets.</t>
  </si>
  <si>
    <t>• New shop-paid income: featured offers and energy dashboards; REC service fee. None is paid by the developer.</t>
  </si>
  <si>
    <t>• Our Year 1 cost: founders take half pay in cash, contract developer 70% cash; a RM120,000 grant covers the Year 1 loss (RM100,000 leaves conservative cash slightly negative).</t>
  </si>
  <si>
    <t>• Clients: sign letters of intent in Year 1 so at least one new client starts in Year 2 (two is the safety margin).</t>
  </si>
  <si>
    <t>• If only one new client signs in Year 2, delay the Year 3 developer hire by a year (Pools_Scenarios row 14).</t>
  </si>
  <si>
    <t>• Fixed fees are pro rata to client size, so smaller developers are not priced out.</t>
  </si>
  <si>
    <t>Pools – what happens inside one client (SDP size), by the client's year on the platform – CONSERVATIVE scenario (inputs from Pools_Scenarios sheet)</t>
  </si>
  <si>
    <t>Money raised, money still invested, payouts and impact for the three pools (other clients are scaled from this).</t>
  </si>
  <si>
    <t>1) Benefits – value created for the developer (customer) – CONSERVATIVE scenario (inputs from Pools_Scenarios sheet)</t>
  </si>
  <si>
    <t>2) Pricing / Income – what clients pay = what we earn – CONSERVATIVE scenario (inputs from Pools_Scenarios sheet)</t>
  </si>
  <si>
    <t>Does the customer make money from Year 1? – CONSERVATIVE scenario (inputs from Pools_Scenarios sheet)</t>
  </si>
  <si>
    <t>3) Spendings – our own cost to build and run the platform (calendar year) – CONSERVATIVE scenario (inputs from Pools_Scenarios sheet)</t>
  </si>
  <si>
    <t>ROI – year by year and 5-year summary (calendar years, all clients) – CONSERVATIVE scenario (inputs from Pools_Scenarios sheet)</t>
  </si>
  <si>
    <t>Customer ROI</t>
  </si>
  <si>
    <t>Target: Vendor lose money in Y1?</t>
  </si>
  <si>
    <t>Target: Vendor make money from Y2?</t>
  </si>
  <si>
    <t>Target: Customer (SDP) gains in its Y1?</t>
  </si>
  <si>
    <t>Net present value (NPV) Vendor cash flows</t>
  </si>
  <si>
    <t>Vendor first profitable year</t>
  </si>
  <si>
    <t>Customer first profitable year</t>
  </si>
  <si>
    <r>
      <rPr>
        <b/>
        <sz val="10"/>
        <color rgb="FF000000"/>
        <rFont val="Arial"/>
        <family val="2"/>
      </rPr>
      <t>Vendor ROI</t>
    </r>
    <r>
      <rPr>
        <sz val="10"/>
        <color rgb="FF000000"/>
        <rFont val="Arial"/>
        <family val="2"/>
      </rPr>
      <t xml:space="preserve"> = (income − spend) ÷ spend</t>
    </r>
  </si>
  <si>
    <r>
      <rPr>
        <b/>
        <sz val="10"/>
        <color rgb="FF000000"/>
        <rFont val="Arial"/>
        <family val="2"/>
      </rPr>
      <t>Customer ROI</t>
    </r>
    <r>
      <rPr>
        <sz val="10"/>
        <color rgb="FF000000"/>
        <rFont val="Arial"/>
        <charset val="1"/>
      </rPr>
      <t xml:space="preserve"> = (benefit − paid) ÷ paid</t>
    </r>
  </si>
  <si>
    <t>Customer's net gain (benefit − paid)</t>
  </si>
  <si>
    <t>Total benefits for customer</t>
  </si>
  <si>
    <t>Paid by customer to us (after credits)</t>
  </si>
  <si>
    <t>Number of customer (How Many?)</t>
  </si>
  <si>
    <t>Vendor income</t>
  </si>
  <si>
    <t>Vendor spend</t>
  </si>
  <si>
    <t>Vendor cumulative net</t>
  </si>
  <si>
    <t>Vendor Net (conservative)</t>
  </si>
  <si>
    <t>Vendor Net 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</si>
</sst>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&quot;RM&quot;#,##0;&quot;(RM&quot;#,##0\);\-"/>
    <numFmt numFmtId="166" formatCode="#,##0;\(#,##0\);\-"/>
    <numFmt numFmtId="167" formatCode="0.00%;\(0.00%\);\-"/>
    <numFmt numFmtId="168" formatCode="0.0%;\(0.0%\);\-"/>
    <numFmt numFmtId="169" formatCode="0.000"/>
    <numFmt numFmtId="170" formatCode="#,##0.00;\(#,##0.00\);\-"/>
    <numFmt numFmtId="171" formatCode="0.0000"/>
    <numFmt numFmtId="172" formatCode="#,##0.0;\(#,##0.0\);\-"/>
    <numFmt numFmtId="173" formatCode="0.0\x"/>
    <numFmt numFmtId="174" formatCode="0.00\x"/>
  </numFmts>
  <fonts count="26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color rgb="FF1F3864"/>
      <name val="Arial"/>
      <charset val="1"/>
    </font>
    <font>
      <b/>
      <sz val="20"/>
      <color rgb="FF1F3864"/>
      <name val="Arial"/>
      <charset val="1"/>
    </font>
    <font>
      <i/>
      <sz val="9"/>
      <color rgb="FF595959"/>
      <name val="Arial"/>
      <charset val="1"/>
    </font>
    <font>
      <b/>
      <sz val="12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10"/>
      <color rgb="FF595959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sz val="10"/>
      <color rgb="FF0563C1"/>
      <name val="Arial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CE6F1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9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vertical="top" wrapText="1"/>
    </xf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166" fontId="10" fillId="0" borderId="0" xfId="0" applyNumberFormat="1" applyFont="1"/>
    <xf numFmtId="49" fontId="10" fillId="0" borderId="0" xfId="0" applyNumberFormat="1" applyFont="1"/>
    <xf numFmtId="167" fontId="10" fillId="0" borderId="0" xfId="0" applyNumberFormat="1" applyFont="1"/>
    <xf numFmtId="168" fontId="10" fillId="0" borderId="0" xfId="0" applyNumberFormat="1" applyFont="1"/>
    <xf numFmtId="0" fontId="11" fillId="0" borderId="0" xfId="0" applyFont="1"/>
    <xf numFmtId="0" fontId="9" fillId="4" borderId="0" xfId="0" applyFont="1" applyFill="1" applyAlignment="1">
      <alignment horizontal="center"/>
    </xf>
    <xf numFmtId="0" fontId="11" fillId="0" borderId="1" xfId="0" applyFont="1" applyBorder="1"/>
    <xf numFmtId="165" fontId="12" fillId="0" borderId="1" xfId="0" applyNumberFormat="1" applyFont="1" applyBorder="1" applyAlignment="1">
      <alignment horizontal="center" wrapText="1"/>
    </xf>
    <xf numFmtId="0" fontId="8" fillId="0" borderId="1" xfId="0" applyFont="1" applyBorder="1"/>
    <xf numFmtId="164" fontId="10" fillId="0" borderId="1" xfId="0" applyNumberFormat="1" applyFont="1" applyBorder="1" applyAlignment="1">
      <alignment horizontal="center" wrapText="1"/>
    </xf>
    <xf numFmtId="0" fontId="4" fillId="2" borderId="0" xfId="0" applyFont="1" applyFill="1"/>
    <xf numFmtId="0" fontId="0" fillId="2" borderId="0" xfId="0" applyFill="1"/>
    <xf numFmtId="165" fontId="8" fillId="0" borderId="1" xfId="0" applyNumberFormat="1" applyFont="1" applyBorder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 wrapText="1"/>
    </xf>
    <xf numFmtId="0" fontId="4" fillId="5" borderId="0" xfId="0" applyFont="1" applyFill="1"/>
    <xf numFmtId="0" fontId="0" fillId="5" borderId="0" xfId="0" applyFill="1"/>
    <xf numFmtId="0" fontId="14" fillId="0" borderId="0" xfId="0" applyFont="1" applyAlignment="1">
      <alignment vertical="top" wrapText="1"/>
    </xf>
    <xf numFmtId="0" fontId="11" fillId="6" borderId="0" xfId="0" applyFont="1" applyFill="1"/>
    <xf numFmtId="0" fontId="0" fillId="6" borderId="0" xfId="0" applyFill="1"/>
    <xf numFmtId="0" fontId="15" fillId="0" borderId="0" xfId="0" applyFont="1" applyAlignment="1">
      <alignment vertical="top" wrapText="1"/>
    </xf>
    <xf numFmtId="1" fontId="16" fillId="0" borderId="0" xfId="0" applyNumberFormat="1" applyFont="1"/>
    <xf numFmtId="0" fontId="13" fillId="0" borderId="0" xfId="0" applyFont="1"/>
    <xf numFmtId="166" fontId="16" fillId="7" borderId="0" xfId="0" applyNumberFormat="1" applyFont="1" applyFill="1"/>
    <xf numFmtId="168" fontId="16" fillId="7" borderId="0" xfId="0" applyNumberFormat="1" applyFont="1" applyFill="1"/>
    <xf numFmtId="168" fontId="16" fillId="0" borderId="0" xfId="0" applyNumberFormat="1" applyFont="1"/>
    <xf numFmtId="169" fontId="8" fillId="0" borderId="0" xfId="0" applyNumberFormat="1" applyFont="1"/>
    <xf numFmtId="169" fontId="16" fillId="0" borderId="0" xfId="0" applyNumberFormat="1" applyFont="1"/>
    <xf numFmtId="166" fontId="16" fillId="0" borderId="0" xfId="0" applyNumberFormat="1" applyFont="1"/>
    <xf numFmtId="168" fontId="8" fillId="0" borderId="0" xfId="0" applyNumberFormat="1" applyFont="1"/>
    <xf numFmtId="167" fontId="16" fillId="7" borderId="0" xfId="0" applyNumberFormat="1" applyFont="1" applyFill="1"/>
    <xf numFmtId="167" fontId="16" fillId="0" borderId="0" xfId="0" applyNumberFormat="1" applyFont="1"/>
    <xf numFmtId="166" fontId="8" fillId="0" borderId="0" xfId="0" applyNumberFormat="1" applyFont="1"/>
    <xf numFmtId="170" fontId="16" fillId="7" borderId="0" xfId="0" applyNumberFormat="1" applyFont="1" applyFill="1"/>
    <xf numFmtId="166" fontId="8" fillId="7" borderId="0" xfId="0" applyNumberFormat="1" applyFont="1" applyFill="1"/>
    <xf numFmtId="2" fontId="16" fillId="0" borderId="0" xfId="0" applyNumberFormat="1" applyFont="1"/>
    <xf numFmtId="170" fontId="16" fillId="0" borderId="0" xfId="0" applyNumberFormat="1" applyFont="1"/>
    <xf numFmtId="171" fontId="8" fillId="7" borderId="0" xfId="0" applyNumberFormat="1" applyFont="1" applyFill="1"/>
    <xf numFmtId="171" fontId="16" fillId="0" borderId="0" xfId="0" applyNumberFormat="1" applyFont="1"/>
    <xf numFmtId="172" fontId="16" fillId="7" borderId="0" xfId="0" applyNumberFormat="1" applyFont="1" applyFill="1"/>
    <xf numFmtId="49" fontId="16" fillId="0" borderId="0" xfId="0" applyNumberFormat="1" applyFont="1"/>
    <xf numFmtId="1" fontId="16" fillId="7" borderId="0" xfId="0" applyNumberFormat="1" applyFont="1" applyFill="1"/>
    <xf numFmtId="173" fontId="16" fillId="7" borderId="0" xfId="0" applyNumberFormat="1" applyFont="1" applyFill="1"/>
    <xf numFmtId="172" fontId="10" fillId="0" borderId="0" xfId="0" applyNumberFormat="1" applyFont="1"/>
    <xf numFmtId="172" fontId="8" fillId="0" borderId="0" xfId="0" applyNumberFormat="1" applyFont="1"/>
    <xf numFmtId="166" fontId="11" fillId="8" borderId="0" xfId="0" applyNumberFormat="1" applyFont="1" applyFill="1"/>
    <xf numFmtId="166" fontId="11" fillId="0" borderId="0" xfId="0" applyNumberFormat="1" applyFont="1"/>
    <xf numFmtId="0" fontId="11" fillId="3" borderId="0" xfId="0" applyFont="1" applyFill="1"/>
    <xf numFmtId="0" fontId="0" fillId="3" borderId="0" xfId="0" applyFill="1"/>
    <xf numFmtId="0" fontId="8" fillId="3" borderId="0" xfId="0" applyFont="1" applyFill="1"/>
    <xf numFmtId="168" fontId="0" fillId="0" borderId="0" xfId="0" applyNumberFormat="1"/>
    <xf numFmtId="0" fontId="17" fillId="0" borderId="0" xfId="0" applyFont="1"/>
    <xf numFmtId="173" fontId="10" fillId="0" borderId="0" xfId="0" applyNumberFormat="1" applyFont="1"/>
    <xf numFmtId="168" fontId="8" fillId="7" borderId="0" xfId="0" applyNumberFormat="1" applyFont="1" applyFill="1"/>
    <xf numFmtId="170" fontId="10" fillId="0" borderId="0" xfId="0" applyNumberFormat="1" applyFont="1"/>
    <xf numFmtId="170" fontId="0" fillId="0" borderId="0" xfId="0" applyNumberFormat="1"/>
    <xf numFmtId="172" fontId="11" fillId="0" borderId="0" xfId="0" applyNumberFormat="1" applyFont="1"/>
    <xf numFmtId="170" fontId="8" fillId="0" borderId="0" xfId="0" applyNumberFormat="1" applyFont="1"/>
    <xf numFmtId="171" fontId="8" fillId="0" borderId="0" xfId="0" applyNumberFormat="1" applyFont="1"/>
    <xf numFmtId="170" fontId="11" fillId="0" borderId="0" xfId="0" applyNumberFormat="1" applyFont="1"/>
    <xf numFmtId="168" fontId="11" fillId="0" borderId="0" xfId="0" applyNumberFormat="1" applyFont="1"/>
    <xf numFmtId="168" fontId="11" fillId="8" borderId="0" xfId="0" applyNumberFormat="1" applyFont="1" applyFill="1"/>
    <xf numFmtId="49" fontId="8" fillId="0" borderId="0" xfId="0" applyNumberFormat="1" applyFont="1"/>
    <xf numFmtId="0" fontId="17" fillId="0" borderId="0" xfId="0" applyFont="1" applyAlignment="1">
      <alignment wrapText="1"/>
    </xf>
    <xf numFmtId="173" fontId="8" fillId="0" borderId="0" xfId="0" applyNumberFormat="1" applyFont="1"/>
    <xf numFmtId="49" fontId="11" fillId="0" borderId="0" xfId="0" applyNumberFormat="1" applyFont="1"/>
    <xf numFmtId="167" fontId="8" fillId="0" borderId="0" xfId="0" applyNumberFormat="1" applyFont="1"/>
    <xf numFmtId="167" fontId="11" fillId="8" borderId="0" xfId="0" applyNumberFormat="1" applyFont="1" applyFill="1"/>
    <xf numFmtId="174" fontId="8" fillId="0" borderId="0" xfId="0" applyNumberFormat="1" applyFont="1"/>
    <xf numFmtId="1" fontId="10" fillId="0" borderId="0" xfId="0" applyNumberFormat="1" applyFont="1"/>
    <xf numFmtId="166" fontId="0" fillId="0" borderId="0" xfId="0" applyNumberFormat="1"/>
    <xf numFmtId="169" fontId="0" fillId="0" borderId="0" xfId="0" applyNumberFormat="1"/>
    <xf numFmtId="0" fontId="9" fillId="4" borderId="0" xfId="0" applyFont="1" applyFill="1"/>
    <xf numFmtId="0" fontId="8" fillId="0" borderId="0" xfId="0" applyFont="1" applyAlignment="1">
      <alignment wrapText="1"/>
    </xf>
    <xf numFmtId="0" fontId="18" fillId="0" borderId="0" xfId="0" applyFont="1"/>
    <xf numFmtId="0" fontId="14" fillId="0" borderId="0" xfId="0" applyFont="1"/>
    <xf numFmtId="0" fontId="8" fillId="0" borderId="1" xfId="0" applyFont="1" applyBorder="1" applyAlignment="1">
      <alignment vertical="top"/>
    </xf>
    <xf numFmtId="49" fontId="13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168" fontId="19" fillId="0" borderId="0" xfId="0" applyNumberFormat="1" applyFont="1"/>
    <xf numFmtId="166" fontId="20" fillId="0" borderId="0" xfId="0" applyNumberFormat="1" applyFont="1"/>
    <xf numFmtId="166" fontId="21" fillId="8" borderId="0" xfId="0" applyNumberFormat="1" applyFont="1" applyFill="1"/>
    <xf numFmtId="0" fontId="22" fillId="0" borderId="0" xfId="0" applyFont="1"/>
    <xf numFmtId="170" fontId="21" fillId="0" borderId="0" xfId="0" applyNumberFormat="1" applyFont="1"/>
    <xf numFmtId="167" fontId="21" fillId="8" borderId="0" xfId="0" applyNumberFormat="1" applyFont="1" applyFill="1"/>
    <xf numFmtId="166" fontId="21" fillId="0" borderId="0" xfId="0" applyNumberFormat="1" applyFont="1"/>
    <xf numFmtId="167" fontId="20" fillId="0" borderId="0" xfId="0" applyNumberFormat="1" applyFont="1"/>
    <xf numFmtId="168" fontId="20" fillId="0" borderId="0" xfId="0" applyNumberFormat="1" applyFont="1"/>
    <xf numFmtId="166" fontId="19" fillId="0" borderId="0" xfId="0" applyNumberFormat="1" applyFont="1"/>
    <xf numFmtId="0" fontId="23" fillId="0" borderId="0" xfId="0" applyFont="1"/>
    <xf numFmtId="0" fontId="24" fillId="6" borderId="0" xfId="0" applyFont="1" applyFill="1"/>
    <xf numFmtId="168" fontId="11" fillId="9" borderId="0" xfId="0" applyNumberFormat="1" applyFont="1" applyFill="1"/>
    <xf numFmtId="0" fontId="24" fillId="0" borderId="0" xfId="0" applyFont="1"/>
    <xf numFmtId="0" fontId="25" fillId="4" borderId="0" xfId="0" applyFont="1" applyFill="1"/>
    <xf numFmtId="49" fontId="11" fillId="0" borderId="0" xfId="0" applyNumberFormat="1" applyFont="1" applyAlignment="1">
      <alignment horizontal="right"/>
    </xf>
    <xf numFmtId="0" fontId="2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Our income vs spend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Vendor 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Dashboard!$B$4:$B$8</c:f>
              <c:numCache>
                <c:formatCode>#,##0;\(#,##0\);\-</c:formatCode>
                <c:ptCount val="5"/>
                <c:pt idx="0">
                  <c:v>39926.504549484001</c:v>
                </c:pt>
                <c:pt idx="1">
                  <c:v>249652.35451583107</c:v>
                </c:pt>
                <c:pt idx="2">
                  <c:v>499086.17342381919</c:v>
                </c:pt>
                <c:pt idx="3">
                  <c:v>782063.56973930832</c:v>
                </c:pt>
                <c:pt idx="4">
                  <c:v>1087212.5513534362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6-4356-834A-58D2AFCB8762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Vendor spend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Dashboard!$C$4:$C$8</c:f>
              <c:numCache>
                <c:formatCode>#,##0;\(#,##0\);\-</c:formatCode>
                <c:ptCount val="5"/>
                <c:pt idx="0">
                  <c:v>126008</c:v>
                </c:pt>
                <c:pt idx="1">
                  <c:v>157424</c:v>
                </c:pt>
                <c:pt idx="2">
                  <c:v>274622</c:v>
                </c:pt>
                <c:pt idx="3">
                  <c:v>277262</c:v>
                </c:pt>
                <c:pt idx="4">
                  <c:v>388460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6-4356-834A-58D2AFCB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95529"/>
        <c:axId val="57325744"/>
      </c:barChart>
      <c:catAx>
        <c:axId val="99095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25744"/>
        <c:crosses val="autoZero"/>
        <c:auto val="1"/>
        <c:lblAlgn val="ctr"/>
        <c:lblOffset val="100"/>
        <c:noMultiLvlLbl val="0"/>
      </c:catAx>
      <c:valAx>
        <c:axId val="57325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95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Our cumulative net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Vendor cumulative net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Dashboard!$D$4:$D$8</c:f>
              <c:numCache>
                <c:formatCode>#,##0;\(#,##0\);\-</c:formatCode>
                <c:ptCount val="5"/>
                <c:pt idx="0">
                  <c:v>-86081.495450515999</c:v>
                </c:pt>
                <c:pt idx="1">
                  <c:v>6146.859065315075</c:v>
                </c:pt>
                <c:pt idx="2">
                  <c:v>230611.03248913426</c:v>
                </c:pt>
                <c:pt idx="3">
                  <c:v>735412.60222844256</c:v>
                </c:pt>
                <c:pt idx="4">
                  <c:v>1434165.1535818786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C2-4095-9F97-591B7A4DB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497759"/>
        <c:axId val="3955232"/>
      </c:lineChart>
      <c:catAx>
        <c:axId val="5849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5232"/>
        <c:crosses val="autoZero"/>
        <c:auto val="1"/>
        <c:lblAlgn val="ctr"/>
        <c:lblOffset val="100"/>
        <c:noMultiLvlLbl val="0"/>
      </c:catAx>
      <c:valAx>
        <c:axId val="3955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97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SDP: benefit vs what it pays us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SDP benefit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Dashboard!$E$4:$E$8</c:f>
              <c:numCache>
                <c:formatCode>#,##0;\(#,##0\);\-</c:formatCode>
                <c:ptCount val="5"/>
                <c:pt idx="0">
                  <c:v>146768.54968588319</c:v>
                </c:pt>
                <c:pt idx="1">
                  <c:v>334156.78283420525</c:v>
                </c:pt>
                <c:pt idx="2">
                  <c:v>411981.54174491717</c:v>
                </c:pt>
                <c:pt idx="3">
                  <c:v>479239.97068669548</c:v>
                </c:pt>
                <c:pt idx="4">
                  <c:v>520421.29366381397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2-4899-90E0-CD3DA04F5312}"/>
            </c:ext>
          </c:extLst>
        </c:ser>
        <c:ser>
          <c:idx val="1"/>
          <c:order val="1"/>
          <c:tx>
            <c:strRef>
              <c:f>Dashboard!$F$3</c:f>
              <c:strCache>
                <c:ptCount val="1"/>
                <c:pt idx="0">
                  <c:v>SDP pays us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Dashboard!$F$4:$F$8</c:f>
              <c:numCache>
                <c:formatCode>#,##0;\(#,##0\);\-</c:formatCode>
                <c:ptCount val="5"/>
                <c:pt idx="0">
                  <c:v>20000</c:v>
                </c:pt>
                <c:pt idx="1">
                  <c:v>150704.96039131633</c:v>
                </c:pt>
                <c:pt idx="2">
                  <c:v>139532.71829293482</c:v>
                </c:pt>
                <c:pt idx="3">
                  <c:v>160785.37554116195</c:v>
                </c:pt>
                <c:pt idx="4">
                  <c:v>172810.66070517112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2-4899-90E0-CD3DA04F5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3948"/>
        <c:axId val="55374987"/>
      </c:barChart>
      <c:catAx>
        <c:axId val="8943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74987"/>
        <c:crosses val="autoZero"/>
        <c:auto val="1"/>
        <c:lblAlgn val="ctr"/>
        <c:lblOffset val="100"/>
        <c:noMultiLvlLbl val="0"/>
      </c:catAx>
      <c:valAx>
        <c:axId val="55374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3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Our net profit: normal vs conservative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</c:f>
              <c:strCache>
                <c:ptCount val="1"/>
                <c:pt idx="0">
                  <c:v>Vendor Net (normal)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Dashboard!$G$4:$G$8</c:f>
              <c:numCache>
                <c:formatCode>#,##0;\(#,##0\);\-</c:formatCode>
                <c:ptCount val="5"/>
                <c:pt idx="0">
                  <c:v>-86081.495450515999</c:v>
                </c:pt>
                <c:pt idx="1">
                  <c:v>92228.354515831074</c:v>
                </c:pt>
                <c:pt idx="2">
                  <c:v>224464.17342381919</c:v>
                </c:pt>
                <c:pt idx="3">
                  <c:v>504801.56973930832</c:v>
                </c:pt>
                <c:pt idx="4">
                  <c:v>698752.5513534362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0-49BD-BA59-A45C9B6F1C21}"/>
            </c:ext>
          </c:extLst>
        </c:ser>
        <c:ser>
          <c:idx val="1"/>
          <c:order val="1"/>
          <c:tx>
            <c:strRef>
              <c:f>Dashboard!$H$3</c:f>
              <c:strCache>
                <c:ptCount val="1"/>
                <c:pt idx="0">
                  <c:v>Vendor Net (conservative)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Dashboard!$H$4:$H$8</c:f>
              <c:numCache>
                <c:formatCode>#,##0;\(#,##0\);\-</c:formatCode>
                <c:ptCount val="5"/>
                <c:pt idx="0">
                  <c:v>-107596.28352488636</c:v>
                </c:pt>
                <c:pt idx="1">
                  <c:v>5033.9555125721963</c:v>
                </c:pt>
                <c:pt idx="2">
                  <c:v>47108.152229117288</c:v>
                </c:pt>
                <c:pt idx="3">
                  <c:v>83647.021573609672</c:v>
                </c:pt>
                <c:pt idx="4">
                  <c:v>102979.06788956362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0-49BD-BA59-A45C9B6F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57542"/>
        <c:axId val="20591008"/>
      </c:barChart>
      <c:catAx>
        <c:axId val="81057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591008"/>
        <c:crosses val="autoZero"/>
        <c:auto val="1"/>
        <c:lblAlgn val="ctr"/>
        <c:lblOffset val="100"/>
        <c:noMultiLvlLbl val="0"/>
      </c:catAx>
      <c:valAx>
        <c:axId val="20591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57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160560</xdr:rowOff>
    </xdr:from>
    <xdr:to>
      <xdr:col>18</xdr:col>
      <xdr:colOff>255960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18</xdr:col>
      <xdr:colOff>255960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160560</xdr:rowOff>
    </xdr:from>
    <xdr:to>
      <xdr:col>18</xdr:col>
      <xdr:colOff>255960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52</xdr:row>
      <xdr:rowOff>160560</xdr:rowOff>
    </xdr:from>
    <xdr:to>
      <xdr:col>18</xdr:col>
      <xdr:colOff>255960</xdr:colOff>
      <xdr:row>68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.gov.my/contents/2025/CREAM/siaran_mediaeng.pdf" TargetMode="External"/><Relationship Id="rId13" Type="http://schemas.openxmlformats.org/officeDocument/2006/relationships/hyperlink" Target="https://www.mida.gov.my/mida-news/government-bolsters-ev-charging-infrastructure-development-with-key-incentives/" TargetMode="External"/><Relationship Id="rId18" Type="http://schemas.openxmlformats.org/officeDocument/2006/relationships/hyperlink" Target="https://www.capitalmarketsmalaysia.com/digital-equity-crowdfunding-ecf/" TargetMode="External"/><Relationship Id="rId3" Type="http://schemas.openxmlformats.org/officeDocument/2006/relationships/hyperlink" Target="https://simedarbyproperty.com/annualreport2024/download/sdp-ir2024-key-highlights.pdf" TargetMode="External"/><Relationship Id="rId21" Type="http://schemas.openxmlformats.org/officeDocument/2006/relationships/hyperlink" Target="https://www.spglobal.com/energy/en/news-research/latest-news/energy-transition/042426-malaysian-solar-i-rec-demand-rises-on-afa-expectations-singapore-preference" TargetMode="External"/><Relationship Id="rId7" Type="http://schemas.openxmlformats.org/officeDocument/2006/relationships/hyperlink" Target="https://myenergystats.st.gov.my/documents/d/guest/grid-emission-factor-gef-in-malaysia-2022-2024-provisional-" TargetMode="External"/><Relationship Id="rId12" Type="http://schemas.openxmlformats.org/officeDocument/2006/relationships/hyperlink" Target="https://www.mida.gov.my/setting-up-business/statutory-contributions/" TargetMode="External"/><Relationship Id="rId17" Type="http://schemas.openxmlformats.org/officeDocument/2006/relationships/hyperlink" Target="https://maicsa.org.my/media/9868/technical_announcements_250114_4_2.pdf" TargetMode="External"/><Relationship Id="rId25" Type="http://schemas.openxmlformats.org/officeDocument/2006/relationships/hyperlink" Target="https://adab.um.edu.my/index.php/IJRER/article/view/8613" TargetMode="External"/><Relationship Id="rId2" Type="http://schemas.openxmlformats.org/officeDocument/2006/relationships/hyperlink" Target="https://simedarbyproperty.com/sites/default/files/2025-01/20250123%20-%20For%20Immediate%20Release%20-%20Sime%20Darby%20Property%20Welcomes%20Anchor%20Tenants%20to%20New%20KLGCC%20Mall.pdf" TargetMode="External"/><Relationship Id="rId16" Type="http://schemas.openxmlformats.org/officeDocument/2006/relationships/hyperlink" Target="https://cradle.com.my/cip-spark/" TargetMode="External"/><Relationship Id="rId20" Type="http://schemas.openxmlformats.org/officeDocument/2006/relationships/hyperlink" Target="https://ibfimonline.com/wp-content/uploads/2020/09/EE-Sector-Role-of-MAESCO-in-Developing-Financially-Viable-EE-Project-by-MAESCO.pdf" TargetMode="External"/><Relationship Id="rId1" Type="http://schemas.openxmlformats.org/officeDocument/2006/relationships/hyperlink" Target="https://www.simedarbyproperty.com/sites/default/files/2024-07/20240711-For%20Immediate%20Release-%20Sime%20Darby%20Property%20and%20TNB%20Launch%20Joint%20Venture%20to%20Empower%20Sustainability%20Agenda%20in%20Malaysia.pdf" TargetMode="External"/><Relationship Id="rId6" Type="http://schemas.openxmlformats.org/officeDocument/2006/relationships/hyperlink" Target="https://myenergystats.st.gov.my/documents/d/guest/tariff-tnb-pdf-1" TargetMode="External"/><Relationship Id="rId11" Type="http://schemas.openxmlformats.org/officeDocument/2006/relationships/hyperlink" Target="https://berita.rtm.gov.my/niaga/senarai-berita-niaga/senarai-artikel/kwsp-umum-dividen-6-15-untuk-simpanan-konvensional-dan-shariah/" TargetMode="External"/><Relationship Id="rId24" Type="http://schemas.openxmlformats.org/officeDocument/2006/relationships/hyperlink" Target="https://soyacincau.com/2026/07/18/chargev-aeon-mall-cheras-selatan-level-2-ev-charger/" TargetMode="External"/><Relationship Id="rId5" Type="http://schemas.openxmlformats.org/officeDocument/2006/relationships/hyperlink" Target="https://www.simedarbyproperty.com/node/1811" TargetMode="External"/><Relationship Id="rId15" Type="http://schemas.openxmlformats.org/officeDocument/2006/relationships/hyperlink" Target="https://marii.my/wp-content/uploads/2026/04/NEW-FAQ-EVCS.pdf" TargetMode="External"/><Relationship Id="rId23" Type="http://schemas.openxmlformats.org/officeDocument/2006/relationships/hyperlink" Target="https://vercel.com/docs/plans/pro-plan" TargetMode="External"/><Relationship Id="rId10" Type="http://schemas.openxmlformats.org/officeDocument/2006/relationships/hyperlink" Target="https://www.abm.org.my/wp-content/uploads/2026/08/website-FD-Rates-as-at-15-Aug-2026.pdf" TargetMode="External"/><Relationship Id="rId19" Type="http://schemas.openxmlformats.org/officeDocument/2006/relationships/hyperlink" Target="https://www.pitchin.my/learn/raise/types-of-fees-for-issuers" TargetMode="External"/><Relationship Id="rId4" Type="http://schemas.openxmlformats.org/officeDocument/2006/relationships/hyperlink" Target="https://simedarbyproperty.com/sites/default/files/2025-04/20250428%20-%20For%20Immediate%20Release%20-%20Sime%20Darby%20Property%20Leads%20Nation&#8217;s%20First%20Community%20Solar%20Rollout%20Under%20NETR%20with%20TNB.pdf" TargetMode="External"/><Relationship Id="rId9" Type="http://schemas.openxmlformats.org/officeDocument/2006/relationships/hyperlink" Target="https://www.st.gov.my/eng/web/download/listing/150" TargetMode="External"/><Relationship Id="rId14" Type="http://schemas.openxmlformats.org/officeDocument/2006/relationships/hyperlink" Target="https://www.mida.gov.my/mida-news/going-ev-what-the-malaysian-government-is-doing-to-charge-up-the-transition/" TargetMode="External"/><Relationship Id="rId22" Type="http://schemas.openxmlformats.org/officeDocument/2006/relationships/hyperlink" Target="https://supabase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Normal="100" workbookViewId="0">
      <selection activeCell="C14" sqref="C14"/>
    </sheetView>
  </sheetViews>
  <sheetFormatPr defaultColWidth="8.6640625" defaultRowHeight="14.4" x14ac:dyDescent="0.3"/>
  <cols>
    <col min="1" max="1" width="24" customWidth="1"/>
    <col min="2" max="2" width="16" customWidth="1"/>
    <col min="3" max="8" width="17" customWidth="1"/>
  </cols>
  <sheetData>
    <row r="1" spans="1:6" ht="17.399999999999999" x14ac:dyDescent="0.3">
      <c r="A1" s="13" t="s">
        <v>0</v>
      </c>
    </row>
    <row r="3" spans="1:6" x14ac:dyDescent="0.3">
      <c r="A3" s="14" t="s">
        <v>1</v>
      </c>
    </row>
    <row r="5" spans="1:6" ht="15.6" x14ac:dyDescent="0.3">
      <c r="A5" s="15" t="s">
        <v>2</v>
      </c>
    </row>
    <row r="6" spans="1:6" ht="19.5" customHeight="1" x14ac:dyDescent="0.3">
      <c r="A6" s="12" t="s">
        <v>3</v>
      </c>
      <c r="B6" s="12"/>
      <c r="C6" s="12" t="s">
        <v>4</v>
      </c>
      <c r="D6" s="12"/>
      <c r="E6" s="12" t="s">
        <v>5</v>
      </c>
      <c r="F6" s="12"/>
    </row>
    <row r="7" spans="1:6" ht="33.75" customHeight="1" x14ac:dyDescent="0.3">
      <c r="A7" s="11">
        <f>ROI!C16</f>
        <v>1.1719180255062029</v>
      </c>
      <c r="B7" s="11"/>
      <c r="C7" s="10">
        <f>ROI!H10</f>
        <v>1434165.1535818786</v>
      </c>
      <c r="D7" s="10"/>
      <c r="E7" s="10">
        <f>ROI!E31</f>
        <v>778498.69767530169</v>
      </c>
      <c r="F7" s="10"/>
    </row>
    <row r="9" spans="1:6" ht="15.6" x14ac:dyDescent="0.3">
      <c r="A9" s="15" t="s">
        <v>6</v>
      </c>
    </row>
    <row r="10" spans="1:6" ht="19.5" customHeight="1" x14ac:dyDescent="0.3">
      <c r="A10" s="9" t="s">
        <v>7</v>
      </c>
      <c r="B10" s="9"/>
      <c r="C10" s="9" t="s">
        <v>8</v>
      </c>
      <c r="D10" s="9"/>
      <c r="E10" s="9" t="s">
        <v>9</v>
      </c>
      <c r="F10" s="9"/>
    </row>
    <row r="11" spans="1:6" ht="33.75" customHeight="1" x14ac:dyDescent="0.3">
      <c r="A11" s="8">
        <f>ROI!C17</f>
        <v>1.9631462517801743</v>
      </c>
      <c r="B11" s="8"/>
      <c r="C11" s="7">
        <f>ROI!H13</f>
        <v>3553672.7134309681</v>
      </c>
      <c r="D11" s="7"/>
      <c r="E11" s="7">
        <f>ROI!C39</f>
        <v>2080179.4924844487</v>
      </c>
      <c r="F11" s="7"/>
    </row>
    <row r="13" spans="1:6" x14ac:dyDescent="0.3">
      <c r="A13" s="16" t="str">
        <f>"Discount rate "&amp;TEXT(Assumptions!$B$58,"0%")&amp;" · ROI = (gain − cost) ÷ cost · Customer = benefit to developers minus what they pay us (Customer_ROI has SDP alone)."</f>
        <v>Discount rate 15% · ROI = (gain − cost) ÷ cost · Customer = benefit to developers minus what they pay us (Customer_ROI has SDP alone).</v>
      </c>
    </row>
    <row r="15" spans="1:6" x14ac:dyDescent="0.3">
      <c r="A15" s="17" t="s">
        <v>10</v>
      </c>
    </row>
    <row r="17" spans="1:8" ht="15.6" x14ac:dyDescent="0.3">
      <c r="A17" s="18" t="s">
        <v>11</v>
      </c>
    </row>
    <row r="18" spans="1:8" ht="30" customHeight="1" x14ac:dyDescent="0.3">
      <c r="A18" s="6" t="s">
        <v>12</v>
      </c>
      <c r="B18" s="6"/>
      <c r="C18" s="6"/>
      <c r="D18" s="6"/>
      <c r="E18" s="6"/>
      <c r="F18" s="6"/>
      <c r="G18" s="6"/>
      <c r="H18" s="6"/>
    </row>
    <row r="19" spans="1:8" ht="30" customHeight="1" x14ac:dyDescent="0.3">
      <c r="A19" s="6" t="s">
        <v>13</v>
      </c>
      <c r="B19" s="6"/>
      <c r="C19" s="6"/>
      <c r="D19" s="6"/>
      <c r="E19" s="6"/>
      <c r="F19" s="6"/>
      <c r="G19" s="6"/>
      <c r="H19" s="6"/>
    </row>
    <row r="20" spans="1:8" ht="30" customHeight="1" x14ac:dyDescent="0.3">
      <c r="A20" s="6" t="s">
        <v>14</v>
      </c>
      <c r="B20" s="6"/>
      <c r="C20" s="6"/>
      <c r="D20" s="6"/>
      <c r="E20" s="6"/>
      <c r="F20" s="6"/>
      <c r="G20" s="6"/>
      <c r="H20" s="6"/>
    </row>
    <row r="22" spans="1:8" ht="15.6" x14ac:dyDescent="0.3">
      <c r="A22" s="18" t="s">
        <v>15</v>
      </c>
    </row>
    <row r="23" spans="1:8" x14ac:dyDescent="0.3">
      <c r="A23" s="19" t="str">
        <f>"Set-up fee RM"&amp;TEXT(Assumptions!$B$38,"#,##0")&amp;" (RM"&amp;TEXT(Assumptions!$B$60,"#,##0")&amp;" in Year 1, RM"&amp;TEXT(Assumptions!$B$61,"#,##0")&amp;" in Year 2) · Platform fee RM"&amp;TEXT(Assumptions!$B$39,"#,##0")&amp;" a year from Year 2 · Success fee "&amp;TEXT(Assumptions!$B$40,"0.00%")&amp;" (waived in Year 1) · "&amp;TEXT(Assumptions!$B$41,"0.0%")&amp;" a year on money invested · "&amp;TEXT(Assumptions!$B$42,"0%")&amp;" on mall redemptions · smaller developers pay pro rata"</f>
        <v>Set-up fee RM50,000 (RM20,000 in Year 1, RM30,000 in Year 2) · Platform fee RM72,000 a year from Year 2 · Success fee 0.75% (waived in Year 1) · 0.5% a year on money invested · 2% on mall redemptions · smaller developers pay pro rata</v>
      </c>
    </row>
    <row r="25" spans="1:8" ht="15.6" x14ac:dyDescent="0.3">
      <c r="A25" s="18" t="s">
        <v>16</v>
      </c>
    </row>
    <row r="26" spans="1:8" x14ac:dyDescent="0.3">
      <c r="A26" s="20" t="s">
        <v>17</v>
      </c>
      <c r="B26" s="21"/>
      <c r="C26" s="21" t="s">
        <v>18</v>
      </c>
      <c r="D26" s="21"/>
      <c r="E26" s="21" t="s">
        <v>19</v>
      </c>
      <c r="F26" s="21"/>
      <c r="G26" s="21" t="s">
        <v>18</v>
      </c>
      <c r="H26" s="21" t="s">
        <v>19</v>
      </c>
    </row>
    <row r="27" spans="1:8" x14ac:dyDescent="0.3">
      <c r="A27" s="5" t="s">
        <v>20</v>
      </c>
      <c r="B27" s="5"/>
      <c r="C27" s="22">
        <f>Conservative_Test!B28</f>
        <v>126768.54968588319</v>
      </c>
      <c r="E27" s="22">
        <f>Conservative_Test!C28</f>
        <v>5808.8056486980095</v>
      </c>
      <c r="G27" s="23" t="str">
        <f>Conservative_Test!E28</f>
        <v>PASS</v>
      </c>
      <c r="H27" s="23" t="str">
        <f>Conservative_Test!F28</f>
        <v>PASS</v>
      </c>
    </row>
    <row r="28" spans="1:8" x14ac:dyDescent="0.3">
      <c r="A28" s="5" t="s">
        <v>21</v>
      </c>
      <c r="B28" s="5"/>
      <c r="C28" s="22">
        <f>Conservative_Test!B29</f>
        <v>22768.549685883198</v>
      </c>
      <c r="E28" s="22">
        <f>Conservative_Test!C29</f>
        <v>5808.8056486980095</v>
      </c>
      <c r="G28" s="23" t="str">
        <f>Conservative_Test!E29</f>
        <v>PASS</v>
      </c>
      <c r="H28" s="23" t="str">
        <f>Conservative_Test!F29</f>
        <v>PASS</v>
      </c>
    </row>
    <row r="29" spans="1:8" x14ac:dyDescent="0.3">
      <c r="A29" s="5" t="s">
        <v>22</v>
      </c>
      <c r="B29" s="5"/>
      <c r="C29" s="22">
        <f>Conservative_Test!B30</f>
        <v>76061.129811529914</v>
      </c>
      <c r="E29" s="22">
        <f>Conservative_Test!C30</f>
        <v>2323.522259479204</v>
      </c>
      <c r="G29" s="23" t="str">
        <f>Conservative_Test!E30</f>
        <v>PASS</v>
      </c>
      <c r="H29" s="23" t="str">
        <f>Conservative_Test!F30</f>
        <v>PASS</v>
      </c>
    </row>
    <row r="30" spans="1:8" x14ac:dyDescent="0.3">
      <c r="A30" s="5" t="s">
        <v>23</v>
      </c>
      <c r="B30" s="5"/>
      <c r="C30" s="22">
        <f>Conservative_Test!B31</f>
        <v>82163.298642857146</v>
      </c>
      <c r="E30" s="22">
        <f>Conservative_Test!C31</f>
        <v>50465.897411141188</v>
      </c>
      <c r="G30" s="23" t="str">
        <f>Conservative_Test!E31</f>
        <v>PASS</v>
      </c>
      <c r="H30" s="23" t="str">
        <f>Conservative_Test!F31</f>
        <v>PASS</v>
      </c>
    </row>
    <row r="31" spans="1:8" x14ac:dyDescent="0.3">
      <c r="A31" s="5" t="s">
        <v>24</v>
      </c>
      <c r="B31" s="5"/>
      <c r="C31" s="24">
        <f>Conservative_Test!B32</f>
        <v>4.5475630046793294E-2</v>
      </c>
      <c r="E31" s="24">
        <f>Conservative_Test!C32</f>
        <v>4.5475630046793294E-2</v>
      </c>
      <c r="G31" s="23" t="str">
        <f>Conservative_Test!E32</f>
        <v>PASS</v>
      </c>
      <c r="H31" s="23" t="str">
        <f>Conservative_Test!F32</f>
        <v>PASS</v>
      </c>
    </row>
    <row r="32" spans="1:8" x14ac:dyDescent="0.3">
      <c r="A32" s="5" t="s">
        <v>25</v>
      </c>
      <c r="B32" s="5"/>
      <c r="C32" s="24">
        <f>Conservative_Test!B33</f>
        <v>5.4841289687346147E-2</v>
      </c>
      <c r="E32" s="24">
        <f>Conservative_Test!C33</f>
        <v>1.294727242828742E-2</v>
      </c>
      <c r="G32" s="23" t="str">
        <f>Conservative_Test!E33</f>
        <v>PASS</v>
      </c>
      <c r="H32" s="23" t="str">
        <f>Conservative_Test!F33</f>
        <v>PASS</v>
      </c>
    </row>
    <row r="33" spans="1:8" x14ac:dyDescent="0.3">
      <c r="A33" s="5" t="s">
        <v>26</v>
      </c>
      <c r="B33" s="5"/>
      <c r="C33" s="25">
        <f>Conservative_Test!B34</f>
        <v>0</v>
      </c>
      <c r="E33" s="25">
        <f>Conservative_Test!C34</f>
        <v>0.40000000000000013</v>
      </c>
      <c r="G33" s="23" t="str">
        <f>Conservative_Test!E34</f>
        <v>PASS</v>
      </c>
      <c r="H33" s="23" t="str">
        <f>Conservative_Test!F34</f>
        <v>PASS</v>
      </c>
    </row>
    <row r="34" spans="1:8" x14ac:dyDescent="0.3">
      <c r="A34" s="5" t="s">
        <v>27</v>
      </c>
      <c r="B34" s="5"/>
      <c r="C34" s="22">
        <f>Conservative_Test!B35</f>
        <v>92228.354515831074</v>
      </c>
      <c r="E34" s="22">
        <f>Conservative_Test!C35</f>
        <v>5033.9555125721963</v>
      </c>
      <c r="G34" s="23" t="str">
        <f>Conservative_Test!E35</f>
        <v>PASS</v>
      </c>
      <c r="H34" s="23" t="str">
        <f>Conservative_Test!F35</f>
        <v>PASS</v>
      </c>
    </row>
    <row r="35" spans="1:8" x14ac:dyDescent="0.3">
      <c r="A35" s="5" t="s">
        <v>28</v>
      </c>
      <c r="B35" s="5"/>
      <c r="C35" s="22">
        <f>Conservative_Test!B36</f>
        <v>1434165.1535818786</v>
      </c>
      <c r="E35" s="22">
        <f>Conservative_Test!C36</f>
        <v>131171.91367997642</v>
      </c>
      <c r="G35" s="23" t="str">
        <f>Conservative_Test!E36</f>
        <v>PASS</v>
      </c>
      <c r="H35" s="23" t="str">
        <f>Conservative_Test!F36</f>
        <v>PASS</v>
      </c>
    </row>
    <row r="36" spans="1:8" x14ac:dyDescent="0.3">
      <c r="A36" s="5" t="s">
        <v>29</v>
      </c>
      <c r="B36" s="5"/>
      <c r="C36" s="22">
        <f>Conservative_Test!B37</f>
        <v>778498.69767530169</v>
      </c>
      <c r="E36" s="22">
        <f>Conservative_Test!C37</f>
        <v>22817.907100511402</v>
      </c>
      <c r="G36" s="23" t="str">
        <f>Conservative_Test!E37</f>
        <v>PASS</v>
      </c>
      <c r="H36" s="23" t="str">
        <f>Conservative_Test!F37</f>
        <v>PASS</v>
      </c>
    </row>
    <row r="37" spans="1:8" x14ac:dyDescent="0.3">
      <c r="A37" s="5" t="s">
        <v>30</v>
      </c>
      <c r="B37" s="5"/>
      <c r="C37" s="22">
        <f>Conservative_Test!B38</f>
        <v>33918.504549484001</v>
      </c>
      <c r="E37" s="22">
        <f>Conservative_Test!C38</f>
        <v>12403.716475113644</v>
      </c>
      <c r="G37" s="23" t="str">
        <f>Conservative_Test!E38</f>
        <v>PASS</v>
      </c>
      <c r="H37" s="23" t="str">
        <f>Conservative_Test!F38</f>
        <v>PASS</v>
      </c>
    </row>
    <row r="38" spans="1:8" x14ac:dyDescent="0.3">
      <c r="A38" s="5" t="s">
        <v>31</v>
      </c>
      <c r="B38" s="5"/>
      <c r="C38" s="22">
        <f>Conservative_Test!B39</f>
        <v>92228.354515831074</v>
      </c>
      <c r="E38" s="22">
        <f>Conservative_Test!C39</f>
        <v>5033.9555125721963</v>
      </c>
      <c r="G38" s="23" t="str">
        <f>Conservative_Test!E39</f>
        <v>PASS</v>
      </c>
      <c r="H38" s="23" t="str">
        <f>Conservative_Test!F39</f>
        <v>PASS</v>
      </c>
    </row>
    <row r="39" spans="1:8" x14ac:dyDescent="0.3">
      <c r="A39" s="26" t="s">
        <v>32</v>
      </c>
      <c r="G39" s="26" t="str">
        <f>Conservative_Test!E40</f>
        <v>ALL PASS</v>
      </c>
      <c r="H39" s="26" t="str">
        <f>Conservative_Test!F40</f>
        <v>ALL PASS</v>
      </c>
    </row>
  </sheetData>
  <mergeCells count="27"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18:H18"/>
    <mergeCell ref="A19:H19"/>
    <mergeCell ref="A20:H20"/>
    <mergeCell ref="A27:B27"/>
    <mergeCell ref="A28:B28"/>
    <mergeCell ref="A10:B10"/>
    <mergeCell ref="C10:D10"/>
    <mergeCell ref="E10:F10"/>
    <mergeCell ref="A11:B11"/>
    <mergeCell ref="C11:D11"/>
    <mergeCell ref="E11:F11"/>
    <mergeCell ref="A6:B6"/>
    <mergeCell ref="C6:D6"/>
    <mergeCell ref="E6:F6"/>
    <mergeCell ref="A7:B7"/>
    <mergeCell ref="C7:D7"/>
    <mergeCell ref="E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2" sqref="A22:G22"/>
    </sheetView>
  </sheetViews>
  <sheetFormatPr defaultColWidth="8.6640625" defaultRowHeight="14.4" x14ac:dyDescent="0.3"/>
  <cols>
    <col min="1" max="1" width="44.109375" customWidth="1"/>
    <col min="2" max="7" width="18.77734375" customWidth="1"/>
  </cols>
  <sheetData>
    <row r="1" spans="1:7" ht="17.399999999999999" x14ac:dyDescent="0.3">
      <c r="A1" s="13" t="s">
        <v>33</v>
      </c>
    </row>
    <row r="2" spans="1:7" x14ac:dyDescent="0.3">
      <c r="A2" s="14" t="s">
        <v>34</v>
      </c>
    </row>
    <row r="4" spans="1:7" x14ac:dyDescent="0.3">
      <c r="A4" s="4" t="s">
        <v>35</v>
      </c>
      <c r="B4" s="3" t="s">
        <v>36</v>
      </c>
      <c r="C4" s="3"/>
      <c r="D4" s="3" t="s">
        <v>37</v>
      </c>
      <c r="E4" s="3"/>
      <c r="F4" s="3" t="s">
        <v>38</v>
      </c>
      <c r="G4" s="3"/>
    </row>
    <row r="5" spans="1:7" x14ac:dyDescent="0.3">
      <c r="A5" s="4"/>
      <c r="B5" s="27" t="s">
        <v>39</v>
      </c>
      <c r="C5" s="27" t="s">
        <v>40</v>
      </c>
      <c r="D5" s="27" t="s">
        <v>39</v>
      </c>
      <c r="E5" s="27" t="s">
        <v>40</v>
      </c>
      <c r="F5" s="27" t="s">
        <v>39</v>
      </c>
      <c r="G5" s="27" t="s">
        <v>40</v>
      </c>
    </row>
    <row r="6" spans="1:7" x14ac:dyDescent="0.3">
      <c r="A6" s="28" t="s">
        <v>41</v>
      </c>
      <c r="B6" s="29">
        <f>Assumptions!$B$96</f>
        <v>100</v>
      </c>
      <c r="C6" s="29">
        <f>Assumptions!$B$97</f>
        <v>2000</v>
      </c>
      <c r="D6" s="29">
        <f>Assumptions!$B$98</f>
        <v>100</v>
      </c>
      <c r="E6" s="29">
        <f>Assumptions!$B$99</f>
        <v>1000</v>
      </c>
      <c r="F6" s="29">
        <f>Assumptions!$B$100</f>
        <v>100</v>
      </c>
      <c r="G6" s="29">
        <f>Assumptions!$B$101</f>
        <v>500</v>
      </c>
    </row>
    <row r="7" spans="1:7" x14ac:dyDescent="0.3">
      <c r="A7" s="30" t="s">
        <v>42</v>
      </c>
      <c r="B7" s="31">
        <f>Investor_ROI!B6</f>
        <v>0.05</v>
      </c>
      <c r="C7" s="31">
        <f>Investor_ROI!B6</f>
        <v>0.05</v>
      </c>
      <c r="D7" s="31">
        <f>Investor_ROI!B15</f>
        <v>6.5000000000000002E-2</v>
      </c>
      <c r="E7" s="31">
        <f>Investor_ROI!B15</f>
        <v>6.5000000000000002E-2</v>
      </c>
      <c r="F7" s="31">
        <f>Investor_ROI!B57</f>
        <v>6.6187267991014487E-2</v>
      </c>
      <c r="G7" s="31">
        <f>Investor_ROI!B57</f>
        <v>6.6187267991014487E-2</v>
      </c>
    </row>
    <row r="8" spans="1:7" ht="67.8" customHeight="1" x14ac:dyDescent="0.3">
      <c r="A8" s="98" t="s">
        <v>43</v>
      </c>
      <c r="B8" s="99" t="s">
        <v>44</v>
      </c>
      <c r="C8" s="99" t="s">
        <v>44</v>
      </c>
      <c r="D8" s="99" t="s">
        <v>45</v>
      </c>
      <c r="E8" s="99" t="s">
        <v>45</v>
      </c>
      <c r="F8" s="99" t="s">
        <v>46</v>
      </c>
      <c r="G8" s="99" t="s">
        <v>46</v>
      </c>
    </row>
    <row r="9" spans="1:7" ht="45" customHeight="1" x14ac:dyDescent="0.3">
      <c r="A9" s="98" t="s">
        <v>47</v>
      </c>
      <c r="B9" s="100" t="str">
        <f>Assumptions!$B$20&amp;" years, monthly"</f>
        <v>5 years, monthly</v>
      </c>
      <c r="C9" s="100" t="str">
        <f>Assumptions!$B$20&amp;" years, monthly"</f>
        <v>5 years, monthly</v>
      </c>
      <c r="D9" s="100" t="str">
        <f>Assumptions!$B$27&amp;" years, monthly"</f>
        <v>3 years, monthly</v>
      </c>
      <c r="E9" s="100" t="str">
        <f>Assumptions!$B$27&amp;" years, monthly"</f>
        <v>3 years, monthly</v>
      </c>
      <c r="F9" s="100" t="str">
        <f>Investor_ROI!B30&amp;" years, from charging income"</f>
        <v>7 years, from charging income</v>
      </c>
      <c r="G9" s="100" t="str">
        <f>Investor_ROI!B30&amp;" years, from charging income"</f>
        <v>7 years, from charging income</v>
      </c>
    </row>
    <row r="10" spans="1:7" x14ac:dyDescent="0.3">
      <c r="A10" s="32" t="s">
        <v>48</v>
      </c>
      <c r="B10" s="33"/>
      <c r="C10" s="33"/>
      <c r="D10" s="33"/>
      <c r="E10" s="33"/>
      <c r="F10" s="33"/>
      <c r="G10" s="33"/>
    </row>
    <row r="11" spans="1:7" x14ac:dyDescent="0.3">
      <c r="A11" s="30" t="s">
        <v>49</v>
      </c>
      <c r="B11" s="34">
        <f>B6*(Investor_ROI!B46)/Investor_ROI!B45</f>
        <v>113.22740186406563</v>
      </c>
      <c r="C11" s="34">
        <f>C6*(Investor_ROI!B46)/Investor_ROI!B45</f>
        <v>2264.5480372813126</v>
      </c>
      <c r="D11" s="34">
        <f>D6*((Investor_ROI!B50-Investor_ROI!B51))/Investor_ROI!B45</f>
        <v>110.33641035543523</v>
      </c>
      <c r="E11" s="34">
        <f>E6*((Investor_ROI!B50-Investor_ROI!B51))/Investor_ROI!B45</f>
        <v>1103.3641035543524</v>
      </c>
      <c r="F11" s="34">
        <f>F6*(Investor_ROI!B55)/Investor_ROI!B45</f>
        <v>128.70960666666664</v>
      </c>
      <c r="G11" s="34">
        <f>G6*(Investor_ROI!B55)/Investor_ROI!B45</f>
        <v>643.54803333333325</v>
      </c>
    </row>
    <row r="12" spans="1:7" x14ac:dyDescent="0.3">
      <c r="A12" s="28" t="s">
        <v>50</v>
      </c>
      <c r="B12" s="35">
        <f>B6*(Investor_ROI!B46)/Investor_ROI!B45-B6</f>
        <v>13.227401864065627</v>
      </c>
      <c r="C12" s="35">
        <f>C6*(Investor_ROI!B46)/Investor_ROI!B45-C6</f>
        <v>264.54803728131265</v>
      </c>
      <c r="D12" s="35">
        <f>D6*((Investor_ROI!B50-Investor_ROI!B51))/Investor_ROI!B45-D6</f>
        <v>10.336410355435234</v>
      </c>
      <c r="E12" s="35">
        <f>E6*((Investor_ROI!B50-Investor_ROI!B51))/Investor_ROI!B45-E6</f>
        <v>103.36410355435237</v>
      </c>
      <c r="F12" s="35">
        <f>F6*(Investor_ROI!B55)/Investor_ROI!B45-F6</f>
        <v>28.709606666666645</v>
      </c>
      <c r="G12" s="35">
        <f>G6*(Investor_ROI!B55)/Investor_ROI!B45-G6</f>
        <v>143.54803333333325</v>
      </c>
    </row>
    <row r="13" spans="1:7" x14ac:dyDescent="0.3">
      <c r="A13" s="28" t="s">
        <v>51</v>
      </c>
      <c r="B13" s="36">
        <f>(Investor_ROI!B46)/Investor_ROI!B45-1</f>
        <v>0.13227401864065635</v>
      </c>
      <c r="C13" s="36">
        <f>(Investor_ROI!B46)/Investor_ROI!B45-1</f>
        <v>0.13227401864065635</v>
      </c>
      <c r="D13" s="36">
        <f>((Investor_ROI!B50-Investor_ROI!B51))/Investor_ROI!B45-1</f>
        <v>0.10336410355435244</v>
      </c>
      <c r="E13" s="36">
        <f>((Investor_ROI!B50-Investor_ROI!B51))/Investor_ROI!B45-1</f>
        <v>0.10336410355435244</v>
      </c>
      <c r="F13" s="36">
        <f>(Investor_ROI!B55)/Investor_ROI!B45-1</f>
        <v>0.28709606666666643</v>
      </c>
      <c r="G13" s="36">
        <f>(Investor_ROI!B55)/Investor_ROI!B45-1</f>
        <v>0.28709606666666643</v>
      </c>
    </row>
    <row r="14" spans="1:7" x14ac:dyDescent="0.3">
      <c r="A14" s="37" t="s">
        <v>52</v>
      </c>
      <c r="B14" s="38"/>
      <c r="C14" s="38"/>
      <c r="D14" s="38"/>
      <c r="E14" s="38"/>
      <c r="F14" s="38"/>
      <c r="G14" s="38"/>
    </row>
    <row r="15" spans="1:7" x14ac:dyDescent="0.3">
      <c r="A15" s="30" t="s">
        <v>53</v>
      </c>
      <c r="B15" s="31">
        <f>Investor_ROI!C8</f>
        <v>0.05</v>
      </c>
      <c r="C15" s="31">
        <f>Investor_ROI!C8</f>
        <v>0.05</v>
      </c>
      <c r="D15" s="31">
        <f>Investor_ROI!C53</f>
        <v>3.2304876411605184E-2</v>
      </c>
      <c r="E15" s="31">
        <f>Investor_ROI!C53</f>
        <v>3.2304876411605184E-2</v>
      </c>
      <c r="F15" s="31">
        <f>Investor_ROI!C57</f>
        <v>-0.11351476580816899</v>
      </c>
      <c r="G15" s="31">
        <f>Investor_ROI!C57</f>
        <v>-0.11351476580816899</v>
      </c>
    </row>
    <row r="16" spans="1:7" x14ac:dyDescent="0.3">
      <c r="A16" s="30" t="s">
        <v>49</v>
      </c>
      <c r="B16" s="34">
        <f>B6*(Investor_ROI!C46)/Investor_ROI!C45</f>
        <v>113.22740186406563</v>
      </c>
      <c r="C16" s="34">
        <f>C6*(Investor_ROI!C46)/Investor_ROI!C45</f>
        <v>2264.5480372813126</v>
      </c>
      <c r="D16" s="34">
        <f>D6*((Investor_ROI!C50-Investor_ROI!C51))/Investor_ROI!C45</f>
        <v>105.05842780976131</v>
      </c>
      <c r="E16" s="34">
        <f>E6*((Investor_ROI!C50-Investor_ROI!C51))/Investor_ROI!C45</f>
        <v>1050.5842780976132</v>
      </c>
      <c r="F16" s="34">
        <f>F6*(Investor_ROI!C55)/Investor_ROI!C45</f>
        <v>59.999999999999986</v>
      </c>
      <c r="G16" s="34">
        <f>G6*(Investor_ROI!C55)/Investor_ROI!C45</f>
        <v>299.99999999999994</v>
      </c>
    </row>
    <row r="17" spans="1:7" x14ac:dyDescent="0.3">
      <c r="A17" s="28" t="s">
        <v>50</v>
      </c>
      <c r="B17" s="35">
        <f>B6*(Investor_ROI!C46)/Investor_ROI!C45-B6</f>
        <v>13.227401864065627</v>
      </c>
      <c r="C17" s="35">
        <f>C6*(Investor_ROI!C46)/Investor_ROI!C45-C6</f>
        <v>264.54803728131265</v>
      </c>
      <c r="D17" s="35">
        <f>D6*((Investor_ROI!C50-Investor_ROI!C51))/Investor_ROI!C45-D6</f>
        <v>5.0584278097613122</v>
      </c>
      <c r="E17" s="35">
        <f>E6*((Investor_ROI!C50-Investor_ROI!C51))/Investor_ROI!C45-E6</f>
        <v>50.584278097613151</v>
      </c>
      <c r="F17" s="35">
        <f>F6*(Investor_ROI!C55)/Investor_ROI!C45-F6</f>
        <v>-40.000000000000014</v>
      </c>
      <c r="G17" s="35">
        <f>G6*(Investor_ROI!C55)/Investor_ROI!C45-G6</f>
        <v>-200.00000000000006</v>
      </c>
    </row>
    <row r="18" spans="1:7" x14ac:dyDescent="0.3">
      <c r="A18" s="28" t="s">
        <v>51</v>
      </c>
      <c r="B18" s="36">
        <f>(Investor_ROI!C46)/Investor_ROI!C45-1</f>
        <v>0.13227401864065635</v>
      </c>
      <c r="C18" s="36">
        <f>(Investor_ROI!C46)/Investor_ROI!C45-1</f>
        <v>0.13227401864065635</v>
      </c>
      <c r="D18" s="36">
        <f>((Investor_ROI!C50-Investor_ROI!C51))/Investor_ROI!C45-1</f>
        <v>5.0584278097613122E-2</v>
      </c>
      <c r="E18" s="36">
        <f>((Investor_ROI!C50-Investor_ROI!C51))/Investor_ROI!C45-1</f>
        <v>5.0584278097613122E-2</v>
      </c>
      <c r="F18" s="36">
        <f>(Investor_ROI!C55)/Investor_ROI!C45-1</f>
        <v>-0.40000000000000013</v>
      </c>
      <c r="G18" s="36">
        <f>(Investor_ROI!C55)/Investor_ROI!C45-1</f>
        <v>-0.40000000000000013</v>
      </c>
    </row>
    <row r="20" spans="1:7" x14ac:dyDescent="0.3">
      <c r="A20" s="26" t="str">
        <f>"Most one resident can put in across all three pools: RM"&amp;TEXT(Assumptions!$B$97+Assumptions!$B$99+Assumptions!$B$101,"#,##0")&amp;". Smallest start: RM"&amp;TEXT(MIN(Assumptions!$B$96,Assumptions!$B$98,Assumptions!$B$100),"#,##0")&amp;" in any one pool."</f>
        <v>Most one resident can put in across all three pools: RM3,500. Smallest start: RM100 in any one pool.</v>
      </c>
    </row>
    <row r="21" spans="1:7" ht="27.75" customHeight="1" x14ac:dyDescent="0.3">
      <c r="A21" s="2" t="s">
        <v>54</v>
      </c>
      <c r="B21" s="2"/>
      <c r="C21" s="2"/>
      <c r="D21" s="2"/>
      <c r="E21" s="2"/>
      <c r="F21" s="2"/>
      <c r="G21" s="2"/>
    </row>
    <row r="22" spans="1:7" ht="27.75" customHeight="1" x14ac:dyDescent="0.3">
      <c r="A22" s="2" t="s">
        <v>55</v>
      </c>
      <c r="B22" s="2"/>
      <c r="C22" s="2"/>
      <c r="D22" s="2"/>
      <c r="E22" s="2"/>
      <c r="F22" s="2"/>
      <c r="G22" s="2"/>
    </row>
    <row r="23" spans="1:7" ht="27.75" customHeight="1" x14ac:dyDescent="0.3">
      <c r="A23" s="2" t="s">
        <v>56</v>
      </c>
      <c r="B23" s="2"/>
      <c r="C23" s="2"/>
      <c r="D23" s="2"/>
      <c r="E23" s="2"/>
      <c r="F23" s="2"/>
      <c r="G23" s="2"/>
    </row>
    <row r="24" spans="1:7" ht="27.75" customHeight="1" x14ac:dyDescent="0.3">
      <c r="A24" s="2" t="s">
        <v>57</v>
      </c>
      <c r="B24" s="2"/>
      <c r="C24" s="2"/>
      <c r="D24" s="2"/>
      <c r="E24" s="2"/>
      <c r="F24" s="2"/>
      <c r="G24" s="2"/>
    </row>
    <row r="25" spans="1:7" ht="27.75" customHeight="1" x14ac:dyDescent="0.3">
      <c r="A25" s="2" t="s">
        <v>58</v>
      </c>
      <c r="B25" s="2"/>
      <c r="C25" s="2"/>
      <c r="D25" s="2"/>
      <c r="E25" s="2"/>
      <c r="F25" s="2"/>
      <c r="G25" s="2"/>
    </row>
  </sheetData>
  <mergeCells count="9">
    <mergeCell ref="A22:G22"/>
    <mergeCell ref="A23:G23"/>
    <mergeCell ref="A24:G24"/>
    <mergeCell ref="A25:G25"/>
    <mergeCell ref="A4:A5"/>
    <mergeCell ref="B4:C4"/>
    <mergeCell ref="D4:E4"/>
    <mergeCell ref="F4:G4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topLeftCell="A46" zoomScaleNormal="100" workbookViewId="0">
      <selection activeCell="C21" sqref="C21"/>
    </sheetView>
  </sheetViews>
  <sheetFormatPr defaultColWidth="8.6640625" defaultRowHeight="14.4" x14ac:dyDescent="0.3"/>
  <cols>
    <col min="1" max="1" width="30" customWidth="1"/>
    <col min="2" max="2" width="48" customWidth="1"/>
    <col min="3" max="3" width="55" customWidth="1"/>
    <col min="4" max="4" width="30" customWidth="1"/>
  </cols>
  <sheetData>
    <row r="1" spans="1:4" ht="17.399999999999999" x14ac:dyDescent="0.3">
      <c r="A1" s="13" t="s">
        <v>59</v>
      </c>
    </row>
    <row r="2" spans="1:4" x14ac:dyDescent="0.3">
      <c r="A2" s="14" t="s">
        <v>60</v>
      </c>
    </row>
    <row r="4" spans="1:4" x14ac:dyDescent="0.3">
      <c r="A4" s="40" t="s">
        <v>61</v>
      </c>
      <c r="B4" s="41"/>
      <c r="C4" s="41"/>
      <c r="D4" s="41"/>
    </row>
    <row r="5" spans="1:4" x14ac:dyDescent="0.3">
      <c r="A5" s="20" t="s">
        <v>62</v>
      </c>
      <c r="B5" s="21" t="s">
        <v>63</v>
      </c>
      <c r="C5" s="21" t="s">
        <v>64</v>
      </c>
      <c r="D5" s="21" t="s">
        <v>65</v>
      </c>
    </row>
    <row r="6" spans="1:4" ht="34.200000000000003" x14ac:dyDescent="0.3">
      <c r="A6" s="39" t="s">
        <v>66</v>
      </c>
      <c r="B6" s="39" t="s">
        <v>67</v>
      </c>
      <c r="C6" s="39" t="s">
        <v>68</v>
      </c>
      <c r="D6" s="42" t="str">
        <f>"RM"&amp;TEXT(Pools_Scenarios!C50,"#,##0;(#,##0)")</f>
        <v>RM82,163</v>
      </c>
    </row>
    <row r="7" spans="1:4" ht="34.200000000000003" x14ac:dyDescent="0.3">
      <c r="A7" s="39" t="s">
        <v>69</v>
      </c>
      <c r="B7" s="39" t="s">
        <v>70</v>
      </c>
      <c r="C7" s="39" t="s">
        <v>71</v>
      </c>
      <c r="D7" s="39"/>
    </row>
    <row r="8" spans="1:4" ht="22.8" x14ac:dyDescent="0.3">
      <c r="A8" s="39" t="s">
        <v>72</v>
      </c>
      <c r="B8" s="39" t="s">
        <v>73</v>
      </c>
      <c r="C8" s="39" t="s">
        <v>74</v>
      </c>
      <c r="D8" s="39"/>
    </row>
    <row r="9" spans="1:4" ht="45.6" x14ac:dyDescent="0.3">
      <c r="A9" s="39" t="s">
        <v>75</v>
      </c>
      <c r="B9" s="39" t="s">
        <v>76</v>
      </c>
      <c r="C9" s="39" t="s">
        <v>77</v>
      </c>
      <c r="D9" s="42" t="str">
        <f>"RM"&amp;TEXT(Customer_ROI!C8,"#,##0;(#,##0)")</f>
        <v>RM126,769</v>
      </c>
    </row>
    <row r="10" spans="1:4" ht="45.6" x14ac:dyDescent="0.3">
      <c r="A10" s="39" t="s">
        <v>78</v>
      </c>
      <c r="B10" s="39" t="s">
        <v>79</v>
      </c>
      <c r="C10" s="39" t="s">
        <v>80</v>
      </c>
      <c r="D10" s="42" t="str">
        <f>"Y1 "&amp;TEXT(ROI!C10,"#,##0;(#,##0)")&amp;" · Y2 "&amp;TEXT(ROI!D10,"#,##0;(#,##0)")</f>
        <v>Y1 (86,081) · Y2 92,228</v>
      </c>
    </row>
    <row r="11" spans="1:4" ht="22.8" x14ac:dyDescent="0.3">
      <c r="A11" s="39" t="s">
        <v>81</v>
      </c>
      <c r="B11" s="39" t="s">
        <v>82</v>
      </c>
      <c r="C11" s="39" t="s">
        <v>83</v>
      </c>
      <c r="D11" s="39"/>
    </row>
    <row r="12" spans="1:4" ht="22.8" x14ac:dyDescent="0.3">
      <c r="A12" s="39" t="s">
        <v>84</v>
      </c>
      <c r="B12" s="39" t="s">
        <v>85</v>
      </c>
      <c r="C12" s="39" t="s">
        <v>86</v>
      </c>
      <c r="D12" s="39"/>
    </row>
    <row r="13" spans="1:4" ht="22.8" x14ac:dyDescent="0.3">
      <c r="A13" s="39" t="s">
        <v>87</v>
      </c>
      <c r="B13" s="39" t="s">
        <v>88</v>
      </c>
      <c r="C13" s="39" t="s">
        <v>89</v>
      </c>
      <c r="D13" s="39"/>
    </row>
    <row r="15" spans="1:4" x14ac:dyDescent="0.3">
      <c r="A15" s="40" t="s">
        <v>90</v>
      </c>
      <c r="B15" s="41"/>
      <c r="C15" s="41"/>
      <c r="D15" s="41"/>
    </row>
    <row r="16" spans="1:4" x14ac:dyDescent="0.3">
      <c r="A16" s="20" t="s">
        <v>91</v>
      </c>
      <c r="B16" s="21" t="s">
        <v>92</v>
      </c>
      <c r="C16" s="21" t="s">
        <v>93</v>
      </c>
      <c r="D16" s="21" t="s">
        <v>94</v>
      </c>
    </row>
    <row r="17" spans="1:4" ht="34.200000000000003" x14ac:dyDescent="0.3">
      <c r="A17" s="39" t="s">
        <v>95</v>
      </c>
      <c r="B17" s="39" t="s">
        <v>96</v>
      </c>
      <c r="C17" s="39" t="s">
        <v>97</v>
      </c>
      <c r="D17" s="39" t="s">
        <v>98</v>
      </c>
    </row>
    <row r="18" spans="1:4" ht="22.8" x14ac:dyDescent="0.3">
      <c r="A18" s="39" t="s">
        <v>99</v>
      </c>
      <c r="B18" s="39" t="s">
        <v>100</v>
      </c>
      <c r="C18" s="39" t="s">
        <v>101</v>
      </c>
      <c r="D18" s="39" t="s">
        <v>102</v>
      </c>
    </row>
    <row r="19" spans="1:4" ht="22.8" x14ac:dyDescent="0.3">
      <c r="A19" s="39" t="s">
        <v>103</v>
      </c>
      <c r="B19" s="39" t="s">
        <v>104</v>
      </c>
      <c r="C19" s="39" t="s">
        <v>105</v>
      </c>
      <c r="D19" s="39" t="s">
        <v>106</v>
      </c>
    </row>
    <row r="20" spans="1:4" x14ac:dyDescent="0.3">
      <c r="A20" s="39" t="s">
        <v>107</v>
      </c>
      <c r="B20" s="39" t="s">
        <v>108</v>
      </c>
      <c r="C20" s="39" t="s">
        <v>109</v>
      </c>
      <c r="D20" s="39" t="s">
        <v>110</v>
      </c>
    </row>
    <row r="21" spans="1:4" ht="22.8" x14ac:dyDescent="0.3">
      <c r="A21" s="39" t="s">
        <v>111</v>
      </c>
      <c r="B21" s="39" t="s">
        <v>112</v>
      </c>
      <c r="C21" s="39" t="s">
        <v>113</v>
      </c>
      <c r="D21" s="39" t="s">
        <v>114</v>
      </c>
    </row>
    <row r="22" spans="1:4" ht="22.8" x14ac:dyDescent="0.3">
      <c r="A22" s="39" t="s">
        <v>115</v>
      </c>
      <c r="B22" s="39" t="s">
        <v>116</v>
      </c>
      <c r="C22" s="39" t="s">
        <v>117</v>
      </c>
      <c r="D22" s="39" t="s">
        <v>118</v>
      </c>
    </row>
    <row r="23" spans="1:4" ht="22.8" x14ac:dyDescent="0.3">
      <c r="A23" s="39" t="s">
        <v>119</v>
      </c>
      <c r="B23" s="39" t="s">
        <v>120</v>
      </c>
      <c r="C23" s="39" t="s">
        <v>121</v>
      </c>
      <c r="D23" s="39" t="s">
        <v>122</v>
      </c>
    </row>
    <row r="24" spans="1:4" ht="22.8" x14ac:dyDescent="0.3">
      <c r="A24" s="39" t="s">
        <v>123</v>
      </c>
      <c r="B24" s="39" t="s">
        <v>124</v>
      </c>
      <c r="C24" s="39" t="s">
        <v>125</v>
      </c>
      <c r="D24" s="39" t="s">
        <v>126</v>
      </c>
    </row>
    <row r="25" spans="1:4" ht="34.200000000000003" x14ac:dyDescent="0.3">
      <c r="A25" s="39" t="s">
        <v>127</v>
      </c>
      <c r="B25" s="39" t="s">
        <v>128</v>
      </c>
      <c r="C25" s="39" t="s">
        <v>129</v>
      </c>
      <c r="D25" s="39" t="s">
        <v>130</v>
      </c>
    </row>
    <row r="26" spans="1:4" x14ac:dyDescent="0.3">
      <c r="A26" s="39" t="s">
        <v>131</v>
      </c>
      <c r="B26" s="39" t="s">
        <v>132</v>
      </c>
      <c r="C26" s="39" t="s">
        <v>133</v>
      </c>
      <c r="D26" s="39" t="s">
        <v>134</v>
      </c>
    </row>
    <row r="27" spans="1:4" ht="22.8" x14ac:dyDescent="0.3">
      <c r="A27" s="39" t="s">
        <v>135</v>
      </c>
      <c r="B27" s="39" t="s">
        <v>136</v>
      </c>
      <c r="C27" s="39" t="s">
        <v>137</v>
      </c>
      <c r="D27" s="39" t="s">
        <v>138</v>
      </c>
    </row>
    <row r="28" spans="1:4" ht="34.200000000000003" x14ac:dyDescent="0.3">
      <c r="A28" s="39" t="s">
        <v>139</v>
      </c>
      <c r="B28" s="39" t="s">
        <v>140</v>
      </c>
      <c r="C28" s="39" t="s">
        <v>141</v>
      </c>
      <c r="D28" s="39" t="s">
        <v>142</v>
      </c>
    </row>
    <row r="29" spans="1:4" ht="22.8" x14ac:dyDescent="0.3">
      <c r="A29" s="39" t="s">
        <v>143</v>
      </c>
      <c r="B29" s="39" t="s">
        <v>144</v>
      </c>
      <c r="C29" s="39" t="s">
        <v>145</v>
      </c>
      <c r="D29" s="39" t="s">
        <v>146</v>
      </c>
    </row>
    <row r="30" spans="1:4" ht="22.8" x14ac:dyDescent="0.3">
      <c r="A30" s="39" t="s">
        <v>147</v>
      </c>
      <c r="B30" s="39" t="s">
        <v>148</v>
      </c>
      <c r="C30" s="39" t="s">
        <v>149</v>
      </c>
      <c r="D30" s="39" t="s">
        <v>150</v>
      </c>
    </row>
    <row r="32" spans="1:4" x14ac:dyDescent="0.3">
      <c r="A32" s="40" t="s">
        <v>151</v>
      </c>
      <c r="B32" s="41"/>
      <c r="C32" s="41"/>
      <c r="D32" s="41"/>
    </row>
    <row r="33" spans="1:4" x14ac:dyDescent="0.3">
      <c r="A33" s="20" t="s">
        <v>152</v>
      </c>
      <c r="B33" s="21" t="s">
        <v>153</v>
      </c>
      <c r="C33" s="21" t="s">
        <v>154</v>
      </c>
      <c r="D33" s="21" t="s">
        <v>155</v>
      </c>
    </row>
    <row r="34" spans="1:4" ht="22.8" x14ac:dyDescent="0.3">
      <c r="A34" s="39" t="s">
        <v>156</v>
      </c>
      <c r="B34" s="39" t="s">
        <v>157</v>
      </c>
      <c r="C34" s="39" t="s">
        <v>158</v>
      </c>
      <c r="D34" s="42" t="str">
        <f>"RM"&amp;TEXT(Customer_ROI!C8,"#,##0;(#,##0)")</f>
        <v>RM126,769</v>
      </c>
    </row>
    <row r="35" spans="1:4" ht="34.200000000000003" x14ac:dyDescent="0.3">
      <c r="A35" s="39" t="s">
        <v>159</v>
      </c>
      <c r="B35" s="39" t="s">
        <v>160</v>
      </c>
      <c r="C35" s="39" t="s">
        <v>161</v>
      </c>
      <c r="D35" s="39"/>
    </row>
    <row r="36" spans="1:4" x14ac:dyDescent="0.3">
      <c r="A36" s="39" t="s">
        <v>162</v>
      </c>
      <c r="B36" s="39" t="s">
        <v>163</v>
      </c>
      <c r="C36" s="39" t="s">
        <v>164</v>
      </c>
      <c r="D36" s="39"/>
    </row>
    <row r="37" spans="1:4" ht="22.8" x14ac:dyDescent="0.3">
      <c r="A37" s="39" t="s">
        <v>165</v>
      </c>
      <c r="B37" s="39" t="s">
        <v>166</v>
      </c>
      <c r="C37" s="39" t="s">
        <v>167</v>
      </c>
      <c r="D37" s="39"/>
    </row>
    <row r="38" spans="1:4" ht="22.8" x14ac:dyDescent="0.3">
      <c r="A38" s="39" t="s">
        <v>168</v>
      </c>
      <c r="B38" s="39" t="s">
        <v>169</v>
      </c>
      <c r="C38" s="39" t="s">
        <v>170</v>
      </c>
      <c r="D38" s="39"/>
    </row>
    <row r="39" spans="1:4" x14ac:dyDescent="0.3">
      <c r="A39" s="39" t="s">
        <v>171</v>
      </c>
      <c r="B39" s="39" t="s">
        <v>172</v>
      </c>
      <c r="C39" s="39" t="s">
        <v>173</v>
      </c>
      <c r="D39" s="39"/>
    </row>
    <row r="41" spans="1:4" x14ac:dyDescent="0.3">
      <c r="A41" s="40" t="s">
        <v>174</v>
      </c>
      <c r="B41" s="41"/>
      <c r="C41" s="41"/>
      <c r="D41" s="41"/>
    </row>
    <row r="42" spans="1:4" x14ac:dyDescent="0.3">
      <c r="A42" s="20" t="s">
        <v>175</v>
      </c>
      <c r="B42" s="21" t="s">
        <v>176</v>
      </c>
      <c r="C42" s="21" t="s">
        <v>177</v>
      </c>
      <c r="D42" s="21" t="s">
        <v>65</v>
      </c>
    </row>
    <row r="43" spans="1:4" ht="22.8" x14ac:dyDescent="0.3">
      <c r="A43" s="39" t="s">
        <v>178</v>
      </c>
      <c r="B43" s="39" t="s">
        <v>179</v>
      </c>
      <c r="C43" s="39" t="s">
        <v>180</v>
      </c>
      <c r="D43" s="42" t="str">
        <f>"RM"&amp;TEXT(ROI!H13,"#,##0;(#,##0)")</f>
        <v>RM3,553,673</v>
      </c>
    </row>
    <row r="44" spans="1:4" ht="22.8" x14ac:dyDescent="0.3">
      <c r="A44" s="39" t="s">
        <v>181</v>
      </c>
      <c r="B44" s="39" t="s">
        <v>182</v>
      </c>
      <c r="C44" s="39" t="s">
        <v>183</v>
      </c>
      <c r="D44" s="39"/>
    </row>
    <row r="45" spans="1:4" x14ac:dyDescent="0.3">
      <c r="A45" s="39" t="s">
        <v>69</v>
      </c>
      <c r="B45" s="39" t="s">
        <v>184</v>
      </c>
      <c r="C45" s="39" t="s">
        <v>185</v>
      </c>
      <c r="D45" s="39"/>
    </row>
    <row r="46" spans="1:4" ht="22.8" x14ac:dyDescent="0.3">
      <c r="A46" s="39" t="s">
        <v>186</v>
      </c>
      <c r="B46" s="39" t="s">
        <v>187</v>
      </c>
      <c r="C46" s="39" t="s">
        <v>188</v>
      </c>
      <c r="D46" s="39"/>
    </row>
    <row r="47" spans="1:4" ht="22.8" x14ac:dyDescent="0.3">
      <c r="A47" s="39" t="s">
        <v>189</v>
      </c>
      <c r="B47" s="39" t="s">
        <v>190</v>
      </c>
      <c r="C47" s="39" t="s">
        <v>191</v>
      </c>
      <c r="D47" s="39"/>
    </row>
    <row r="48" spans="1:4" x14ac:dyDescent="0.3">
      <c r="A48" s="39" t="s">
        <v>192</v>
      </c>
      <c r="B48" s="39" t="s">
        <v>193</v>
      </c>
      <c r="C48" s="39" t="s">
        <v>194</v>
      </c>
      <c r="D48" s="42" t="str">
        <f>TEXT(ROI!C16,"0%")&amp;" 5-yr ROI"</f>
        <v>117% 5-yr ROI</v>
      </c>
    </row>
    <row r="50" spans="1:4" x14ac:dyDescent="0.3">
      <c r="A50" s="40" t="s">
        <v>195</v>
      </c>
      <c r="B50" s="41"/>
      <c r="C50" s="41"/>
      <c r="D50" s="41"/>
    </row>
    <row r="51" spans="1:4" x14ac:dyDescent="0.3">
      <c r="A51" s="20" t="s">
        <v>196</v>
      </c>
      <c r="B51" s="21" t="s">
        <v>197</v>
      </c>
      <c r="C51" s="21" t="s">
        <v>198</v>
      </c>
      <c r="D51" s="21"/>
    </row>
    <row r="52" spans="1:4" ht="22.8" x14ac:dyDescent="0.3">
      <c r="A52" s="39" t="s">
        <v>199</v>
      </c>
      <c r="B52" s="39" t="s">
        <v>200</v>
      </c>
      <c r="C52" s="39" t="s">
        <v>201</v>
      </c>
      <c r="D52" s="39"/>
    </row>
    <row r="53" spans="1:4" x14ac:dyDescent="0.3">
      <c r="A53" s="39" t="s">
        <v>202</v>
      </c>
      <c r="B53" s="39" t="s">
        <v>203</v>
      </c>
      <c r="C53" s="39" t="s">
        <v>204</v>
      </c>
      <c r="D53" s="39"/>
    </row>
    <row r="54" spans="1:4" ht="22.8" x14ac:dyDescent="0.3">
      <c r="A54" s="39" t="s">
        <v>205</v>
      </c>
      <c r="B54" s="39" t="s">
        <v>206</v>
      </c>
      <c r="C54" s="39" t="s">
        <v>207</v>
      </c>
      <c r="D54" s="39"/>
    </row>
    <row r="55" spans="1:4" ht="22.8" x14ac:dyDescent="0.3">
      <c r="A55" s="39" t="s">
        <v>208</v>
      </c>
      <c r="B55" s="39" t="s">
        <v>209</v>
      </c>
      <c r="C55" s="39" t="s">
        <v>210</v>
      </c>
      <c r="D55" s="39"/>
    </row>
    <row r="56" spans="1:4" ht="22.8" x14ac:dyDescent="0.3">
      <c r="A56" s="39" t="s">
        <v>211</v>
      </c>
      <c r="B56" s="39" t="s">
        <v>212</v>
      </c>
      <c r="C56" s="39" t="s">
        <v>213</v>
      </c>
      <c r="D56" s="39"/>
    </row>
    <row r="57" spans="1:4" ht="22.8" x14ac:dyDescent="0.3">
      <c r="A57" s="39" t="s">
        <v>214</v>
      </c>
      <c r="B57" s="39" t="s">
        <v>215</v>
      </c>
      <c r="C57" s="39" t="s">
        <v>216</v>
      </c>
      <c r="D57" s="3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2"/>
  <sheetViews>
    <sheetView zoomScaleNormal="100" workbookViewId="0">
      <pane ySplit="4" topLeftCell="A5" activePane="bottomLeft" state="frozen"/>
      <selection pane="bottomLeft" activeCell="C163" sqref="C163"/>
    </sheetView>
  </sheetViews>
  <sheetFormatPr defaultColWidth="8.6640625" defaultRowHeight="14.4" x14ac:dyDescent="0.3"/>
  <cols>
    <col min="1" max="1" width="58" customWidth="1"/>
    <col min="2" max="2" width="13" customWidth="1"/>
    <col min="3" max="3" width="16" customWidth="1"/>
    <col min="4" max="6" width="12" customWidth="1"/>
    <col min="7" max="7" width="14" customWidth="1"/>
    <col min="8" max="8" width="62" customWidth="1"/>
  </cols>
  <sheetData>
    <row r="1" spans="1:8" ht="17.399999999999999" x14ac:dyDescent="0.3">
      <c r="A1" s="13" t="s">
        <v>217</v>
      </c>
    </row>
    <row r="2" spans="1:8" x14ac:dyDescent="0.3">
      <c r="A2" s="14" t="s">
        <v>218</v>
      </c>
    </row>
    <row r="4" spans="1:8" ht="15" customHeight="1" x14ac:dyDescent="0.3">
      <c r="A4" s="20" t="s">
        <v>219</v>
      </c>
      <c r="B4" s="21" t="s">
        <v>220</v>
      </c>
      <c r="C4" s="21" t="s">
        <v>221</v>
      </c>
      <c r="D4" s="1" t="s">
        <v>222</v>
      </c>
      <c r="E4" s="1"/>
      <c r="F4" s="1"/>
      <c r="G4" s="1"/>
      <c r="H4" s="1"/>
    </row>
    <row r="5" spans="1:8" x14ac:dyDescent="0.3">
      <c r="A5" s="40" t="s">
        <v>223</v>
      </c>
      <c r="B5" s="41"/>
      <c r="C5" s="41"/>
      <c r="D5" s="41"/>
      <c r="E5" s="41"/>
      <c r="F5" s="41"/>
      <c r="G5" s="41"/>
      <c r="H5" s="41"/>
    </row>
    <row r="6" spans="1:8" ht="15" customHeight="1" x14ac:dyDescent="0.3">
      <c r="A6" s="19" t="s">
        <v>224</v>
      </c>
      <c r="B6" s="43">
        <v>2028</v>
      </c>
      <c r="C6" s="44" t="s">
        <v>225</v>
      </c>
      <c r="D6" s="2" t="s">
        <v>226</v>
      </c>
      <c r="E6" s="2"/>
      <c r="F6" s="2"/>
      <c r="G6" s="2"/>
      <c r="H6" s="2"/>
    </row>
    <row r="7" spans="1:8" ht="15" customHeight="1" x14ac:dyDescent="0.3">
      <c r="A7" s="19" t="s">
        <v>227</v>
      </c>
      <c r="B7" s="45">
        <v>500</v>
      </c>
      <c r="C7" s="44" t="s">
        <v>228</v>
      </c>
      <c r="D7" s="2" t="s">
        <v>229</v>
      </c>
      <c r="E7" s="2"/>
      <c r="F7" s="2"/>
      <c r="G7" s="2"/>
      <c r="H7" s="2"/>
    </row>
    <row r="8" spans="1:8" ht="15" customHeight="1" x14ac:dyDescent="0.3">
      <c r="A8" s="19" t="s">
        <v>230</v>
      </c>
      <c r="B8" s="46">
        <v>0.3</v>
      </c>
      <c r="C8" s="44" t="s">
        <v>231</v>
      </c>
      <c r="D8" s="2" t="s">
        <v>232</v>
      </c>
      <c r="E8" s="2"/>
      <c r="F8" s="2"/>
      <c r="G8" s="2"/>
      <c r="H8" s="2"/>
    </row>
    <row r="9" spans="1:8" ht="15" customHeight="1" x14ac:dyDescent="0.3">
      <c r="A9" s="19" t="s">
        <v>233</v>
      </c>
      <c r="B9" s="47">
        <v>0.1</v>
      </c>
      <c r="C9" s="44" t="s">
        <v>231</v>
      </c>
      <c r="D9" s="2" t="s">
        <v>234</v>
      </c>
      <c r="E9" s="2"/>
      <c r="F9" s="2"/>
      <c r="G9" s="2"/>
      <c r="H9" s="2"/>
    </row>
    <row r="10" spans="1:8" ht="15" customHeight="1" x14ac:dyDescent="0.3">
      <c r="A10" s="19" t="s">
        <v>235</v>
      </c>
      <c r="B10" s="46">
        <v>0.01</v>
      </c>
      <c r="C10" s="44" t="s">
        <v>236</v>
      </c>
      <c r="D10" s="2" t="s">
        <v>237</v>
      </c>
      <c r="E10" s="2"/>
      <c r="F10" s="2"/>
      <c r="G10" s="2"/>
      <c r="H10" s="2"/>
    </row>
    <row r="11" spans="1:8" ht="15" customHeight="1" x14ac:dyDescent="0.3">
      <c r="A11" s="19" t="s">
        <v>238</v>
      </c>
      <c r="B11" s="48">
        <f>Assumptions!$B$102</f>
        <v>0.50679999999999992</v>
      </c>
      <c r="C11" s="44" t="s">
        <v>239</v>
      </c>
      <c r="D11" s="2" t="s">
        <v>240</v>
      </c>
      <c r="E11" s="2"/>
      <c r="F11" s="2"/>
      <c r="G11" s="2"/>
      <c r="H11" s="2"/>
    </row>
    <row r="12" spans="1:8" ht="15" customHeight="1" x14ac:dyDescent="0.3">
      <c r="A12" s="19" t="s">
        <v>241</v>
      </c>
      <c r="B12" s="49">
        <v>0.74</v>
      </c>
      <c r="C12" s="44" t="s">
        <v>242</v>
      </c>
      <c r="D12" s="2" t="s">
        <v>243</v>
      </c>
      <c r="E12" s="2"/>
      <c r="F12" s="2"/>
      <c r="G12" s="2"/>
      <c r="H12" s="2"/>
    </row>
    <row r="13" spans="1:8" ht="24.75" customHeight="1" x14ac:dyDescent="0.3">
      <c r="A13" s="19" t="s">
        <v>244</v>
      </c>
      <c r="B13" s="50">
        <v>20800000</v>
      </c>
      <c r="C13" s="44" t="s">
        <v>245</v>
      </c>
      <c r="D13" s="2" t="s">
        <v>246</v>
      </c>
      <c r="E13" s="2"/>
      <c r="F13" s="2"/>
      <c r="G13" s="2"/>
      <c r="H13" s="2"/>
    </row>
    <row r="14" spans="1:8" ht="15" customHeight="1" x14ac:dyDescent="0.3">
      <c r="A14" s="19" t="s">
        <v>247</v>
      </c>
      <c r="B14" s="46">
        <v>0.5</v>
      </c>
      <c r="C14" s="44" t="s">
        <v>231</v>
      </c>
      <c r="D14" s="2" t="s">
        <v>248</v>
      </c>
      <c r="E14" s="2"/>
      <c r="F14" s="2"/>
      <c r="G14" s="2"/>
      <c r="H14" s="2"/>
    </row>
    <row r="15" spans="1:8" x14ac:dyDescent="0.3">
      <c r="A15" s="40" t="s">
        <v>249</v>
      </c>
      <c r="B15" s="41"/>
      <c r="C15" s="41"/>
      <c r="D15" s="41"/>
      <c r="E15" s="41"/>
      <c r="F15" s="41"/>
      <c r="G15" s="41"/>
      <c r="H15" s="41"/>
    </row>
    <row r="16" spans="1:8" ht="15" customHeight="1" x14ac:dyDescent="0.3">
      <c r="A16" s="19" t="s">
        <v>250</v>
      </c>
      <c r="B16" s="45">
        <v>3200</v>
      </c>
      <c r="C16" s="44" t="s">
        <v>251</v>
      </c>
      <c r="D16" s="2" t="s">
        <v>252</v>
      </c>
      <c r="E16" s="2"/>
      <c r="F16" s="2"/>
      <c r="G16" s="2"/>
      <c r="H16" s="2"/>
    </row>
    <row r="17" spans="1:8" ht="24.75" customHeight="1" x14ac:dyDescent="0.3">
      <c r="A17" s="19" t="s">
        <v>253</v>
      </c>
      <c r="B17" s="50">
        <v>1250</v>
      </c>
      <c r="C17" s="44" t="s">
        <v>254</v>
      </c>
      <c r="D17" s="2" t="s">
        <v>255</v>
      </c>
      <c r="E17" s="2"/>
      <c r="F17" s="2"/>
      <c r="G17" s="2"/>
      <c r="H17" s="2"/>
    </row>
    <row r="18" spans="1:8" ht="24.75" customHeight="1" x14ac:dyDescent="0.3">
      <c r="A18" s="19" t="s">
        <v>256</v>
      </c>
      <c r="B18" s="51">
        <f>Assumptions!$B$111</f>
        <v>0.3</v>
      </c>
      <c r="C18" s="44" t="s">
        <v>231</v>
      </c>
      <c r="D18" s="2" t="s">
        <v>257</v>
      </c>
      <c r="E18" s="2"/>
      <c r="F18" s="2"/>
      <c r="G18" s="2"/>
      <c r="H18" s="2"/>
    </row>
    <row r="19" spans="1:8" ht="15" customHeight="1" x14ac:dyDescent="0.3">
      <c r="A19" s="19" t="s">
        <v>258</v>
      </c>
      <c r="B19" s="52">
        <v>0.05</v>
      </c>
      <c r="C19" s="44" t="s">
        <v>259</v>
      </c>
      <c r="D19" s="2" t="s">
        <v>260</v>
      </c>
      <c r="E19" s="2"/>
      <c r="F19" s="2"/>
      <c r="G19" s="2"/>
      <c r="H19" s="2"/>
    </row>
    <row r="20" spans="1:8" ht="15" customHeight="1" x14ac:dyDescent="0.3">
      <c r="A20" s="19" t="s">
        <v>261</v>
      </c>
      <c r="B20" s="43">
        <v>5</v>
      </c>
      <c r="C20" s="44" t="s">
        <v>262</v>
      </c>
      <c r="D20" s="2" t="s">
        <v>263</v>
      </c>
      <c r="E20" s="2"/>
      <c r="F20" s="2"/>
      <c r="G20" s="2"/>
      <c r="H20" s="2"/>
    </row>
    <row r="21" spans="1:8" ht="15" customHeight="1" x14ac:dyDescent="0.3">
      <c r="A21" s="19" t="s">
        <v>264</v>
      </c>
      <c r="B21" s="52">
        <v>8.5000000000000006E-2</v>
      </c>
      <c r="C21" s="44" t="s">
        <v>259</v>
      </c>
      <c r="D21" s="2" t="s">
        <v>265</v>
      </c>
      <c r="E21" s="2"/>
      <c r="F21" s="2"/>
      <c r="G21" s="2"/>
      <c r="H21" s="2"/>
    </row>
    <row r="22" spans="1:8" x14ac:dyDescent="0.3">
      <c r="A22" s="40" t="s">
        <v>266</v>
      </c>
      <c r="B22" s="41"/>
      <c r="C22" s="41"/>
      <c r="D22" s="41"/>
      <c r="E22" s="41"/>
      <c r="F22" s="41"/>
      <c r="G22" s="41"/>
      <c r="H22" s="41"/>
    </row>
    <row r="23" spans="1:8" ht="15" customHeight="1" x14ac:dyDescent="0.3">
      <c r="A23" s="19" t="s">
        <v>267</v>
      </c>
      <c r="B23" s="45">
        <v>20000</v>
      </c>
      <c r="C23" s="44" t="s">
        <v>228</v>
      </c>
      <c r="D23" s="2" t="s">
        <v>268</v>
      </c>
      <c r="E23" s="2"/>
      <c r="F23" s="2"/>
      <c r="G23" s="2"/>
      <c r="H23" s="2"/>
    </row>
    <row r="24" spans="1:8" ht="15" customHeight="1" x14ac:dyDescent="0.3">
      <c r="A24" s="19" t="s">
        <v>269</v>
      </c>
      <c r="B24" s="45">
        <v>1000</v>
      </c>
      <c r="C24" s="44" t="s">
        <v>270</v>
      </c>
      <c r="D24" s="2" t="s">
        <v>271</v>
      </c>
      <c r="E24" s="2"/>
      <c r="F24" s="2"/>
      <c r="G24" s="2"/>
      <c r="H24" s="2"/>
    </row>
    <row r="25" spans="1:8" ht="15" customHeight="1" x14ac:dyDescent="0.3">
      <c r="A25" s="19" t="s">
        <v>272</v>
      </c>
      <c r="B25" s="47">
        <v>0.8</v>
      </c>
      <c r="C25" s="44" t="s">
        <v>231</v>
      </c>
      <c r="D25" s="2" t="s">
        <v>273</v>
      </c>
      <c r="E25" s="2"/>
      <c r="F25" s="2"/>
      <c r="G25" s="2"/>
      <c r="H25" s="2"/>
    </row>
    <row r="26" spans="1:8" ht="15" customHeight="1" x14ac:dyDescent="0.3">
      <c r="A26" s="19" t="s">
        <v>274</v>
      </c>
      <c r="B26" s="53">
        <v>6.5000000000000002E-2</v>
      </c>
      <c r="C26" s="44" t="s">
        <v>259</v>
      </c>
      <c r="D26" s="2" t="s">
        <v>275</v>
      </c>
      <c r="E26" s="2"/>
      <c r="F26" s="2"/>
      <c r="G26" s="2"/>
      <c r="H26" s="2"/>
    </row>
    <row r="27" spans="1:8" ht="15" customHeight="1" x14ac:dyDescent="0.3">
      <c r="A27" s="19" t="s">
        <v>276</v>
      </c>
      <c r="B27" s="43">
        <v>3</v>
      </c>
      <c r="C27" s="44" t="s">
        <v>262</v>
      </c>
      <c r="D27" s="2" t="s">
        <v>263</v>
      </c>
      <c r="E27" s="2"/>
      <c r="F27" s="2"/>
      <c r="G27" s="2"/>
      <c r="H27" s="2"/>
    </row>
    <row r="28" spans="1:8" ht="15" customHeight="1" x14ac:dyDescent="0.3">
      <c r="A28" s="19" t="s">
        <v>277</v>
      </c>
      <c r="B28" s="47">
        <v>0.5</v>
      </c>
      <c r="C28" s="44" t="s">
        <v>231</v>
      </c>
      <c r="D28" s="2" t="s">
        <v>278</v>
      </c>
      <c r="E28" s="2"/>
      <c r="F28" s="2"/>
      <c r="G28" s="2"/>
      <c r="H28" s="2"/>
    </row>
    <row r="29" spans="1:8" x14ac:dyDescent="0.3">
      <c r="A29" s="40" t="s">
        <v>279</v>
      </c>
      <c r="B29" s="41"/>
      <c r="C29" s="41"/>
      <c r="D29" s="41"/>
      <c r="E29" s="41"/>
      <c r="F29" s="41"/>
      <c r="G29" s="41"/>
      <c r="H29" s="41"/>
    </row>
    <row r="30" spans="1:8" ht="15" customHeight="1" x14ac:dyDescent="0.3">
      <c r="A30" s="19" t="s">
        <v>280</v>
      </c>
      <c r="B30" s="54">
        <f>Assumptions!$B$115*Assumptions!$B$116+(1-Assumptions!$B$115)*Assumptions!$B$117</f>
        <v>62500</v>
      </c>
      <c r="C30" s="44" t="s">
        <v>228</v>
      </c>
      <c r="D30" s="2" t="s">
        <v>281</v>
      </c>
      <c r="E30" s="2"/>
      <c r="F30" s="2"/>
      <c r="G30" s="2"/>
      <c r="H30" s="2"/>
    </row>
    <row r="31" spans="1:8" ht="24.75" customHeight="1" x14ac:dyDescent="0.3">
      <c r="A31" s="19" t="s">
        <v>282</v>
      </c>
      <c r="B31" s="47">
        <v>0.5</v>
      </c>
      <c r="C31" s="44" t="s">
        <v>231</v>
      </c>
      <c r="D31" s="2" t="s">
        <v>283</v>
      </c>
      <c r="E31" s="2"/>
      <c r="F31" s="2"/>
      <c r="G31" s="2"/>
      <c r="H31" s="2"/>
    </row>
    <row r="32" spans="1:8" ht="15" customHeight="1" x14ac:dyDescent="0.3">
      <c r="A32" s="19" t="s">
        <v>284</v>
      </c>
      <c r="B32" s="55">
        <v>1.4</v>
      </c>
      <c r="C32" s="44" t="s">
        <v>239</v>
      </c>
      <c r="D32" s="2" t="s">
        <v>285</v>
      </c>
      <c r="E32" s="2"/>
      <c r="F32" s="2"/>
      <c r="G32" s="2"/>
      <c r="H32" s="2"/>
    </row>
    <row r="33" spans="1:8" ht="15" customHeight="1" x14ac:dyDescent="0.3">
      <c r="A33" s="19" t="s">
        <v>286</v>
      </c>
      <c r="B33" s="47">
        <v>0.03</v>
      </c>
      <c r="C33" s="44" t="s">
        <v>287</v>
      </c>
      <c r="D33" s="2" t="s">
        <v>288</v>
      </c>
      <c r="E33" s="2"/>
      <c r="F33" s="2"/>
      <c r="G33" s="2"/>
      <c r="H33" s="2"/>
    </row>
    <row r="34" spans="1:8" ht="15" customHeight="1" x14ac:dyDescent="0.3">
      <c r="A34" s="19" t="s">
        <v>289</v>
      </c>
      <c r="B34" s="45">
        <v>10000</v>
      </c>
      <c r="C34" s="44" t="s">
        <v>245</v>
      </c>
      <c r="D34" s="2" t="s">
        <v>290</v>
      </c>
      <c r="E34" s="2"/>
      <c r="F34" s="2"/>
      <c r="G34" s="2"/>
      <c r="H34" s="2"/>
    </row>
    <row r="35" spans="1:8" ht="15" customHeight="1" x14ac:dyDescent="0.3">
      <c r="A35" s="19" t="s">
        <v>291</v>
      </c>
      <c r="B35" s="56">
        <f>Assumptions!$B$105*Assumptions!$B$106</f>
        <v>60</v>
      </c>
      <c r="C35" s="44" t="s">
        <v>292</v>
      </c>
      <c r="D35" s="2" t="s">
        <v>293</v>
      </c>
      <c r="E35" s="2"/>
      <c r="F35" s="2"/>
      <c r="G35" s="2"/>
      <c r="H35" s="2"/>
    </row>
    <row r="36" spans="1:8" ht="24.75" customHeight="1" x14ac:dyDescent="0.3">
      <c r="A36" s="19" t="s">
        <v>294</v>
      </c>
      <c r="B36" s="47">
        <v>0.1</v>
      </c>
      <c r="C36" s="44" t="s">
        <v>231</v>
      </c>
      <c r="D36" s="2" t="s">
        <v>295</v>
      </c>
      <c r="E36" s="2"/>
      <c r="F36" s="2"/>
      <c r="G36" s="2"/>
      <c r="H36" s="2"/>
    </row>
    <row r="37" spans="1:8" x14ac:dyDescent="0.3">
      <c r="A37" s="40" t="s">
        <v>296</v>
      </c>
      <c r="B37" s="41"/>
      <c r="C37" s="41"/>
      <c r="D37" s="41"/>
      <c r="E37" s="41"/>
      <c r="F37" s="41"/>
      <c r="G37" s="41"/>
      <c r="H37" s="41"/>
    </row>
    <row r="38" spans="1:8" ht="15" customHeight="1" x14ac:dyDescent="0.3">
      <c r="A38" s="19" t="s">
        <v>297</v>
      </c>
      <c r="B38" s="54">
        <f>Assumptions!$B$60+Assumptions!$B$61</f>
        <v>50000</v>
      </c>
      <c r="C38" s="44" t="s">
        <v>228</v>
      </c>
      <c r="D38" s="2" t="s">
        <v>298</v>
      </c>
      <c r="E38" s="2"/>
      <c r="F38" s="2"/>
      <c r="G38" s="2"/>
      <c r="H38" s="2"/>
    </row>
    <row r="39" spans="1:8" ht="24.75" customHeight="1" x14ac:dyDescent="0.3">
      <c r="A39" s="19" t="s">
        <v>299</v>
      </c>
      <c r="B39" s="45">
        <v>72000</v>
      </c>
      <c r="C39" s="44" t="s">
        <v>245</v>
      </c>
      <c r="D39" s="2" t="s">
        <v>300</v>
      </c>
      <c r="E39" s="2"/>
      <c r="F39" s="2"/>
      <c r="G39" s="2"/>
      <c r="H39" s="2"/>
    </row>
    <row r="40" spans="1:8" ht="15" customHeight="1" x14ac:dyDescent="0.3">
      <c r="A40" s="19" t="s">
        <v>301</v>
      </c>
      <c r="B40" s="52">
        <v>7.4999999999999997E-3</v>
      </c>
      <c r="C40" s="44" t="s">
        <v>302</v>
      </c>
      <c r="D40" s="2" t="s">
        <v>303</v>
      </c>
      <c r="E40" s="2"/>
      <c r="F40" s="2"/>
      <c r="G40" s="2"/>
      <c r="H40" s="2"/>
    </row>
    <row r="41" spans="1:8" ht="15" customHeight="1" x14ac:dyDescent="0.3">
      <c r="A41" s="19" t="s">
        <v>304</v>
      </c>
      <c r="B41" s="52">
        <v>5.0000000000000001E-3</v>
      </c>
      <c r="C41" s="44" t="s">
        <v>259</v>
      </c>
      <c r="D41" s="2" t="s">
        <v>305</v>
      </c>
      <c r="E41" s="2"/>
      <c r="F41" s="2"/>
      <c r="G41" s="2"/>
      <c r="H41" s="2"/>
    </row>
    <row r="42" spans="1:8" ht="15" customHeight="1" x14ac:dyDescent="0.3">
      <c r="A42" s="19" t="s">
        <v>306</v>
      </c>
      <c r="B42" s="47">
        <v>0.02</v>
      </c>
      <c r="C42" s="44" t="s">
        <v>307</v>
      </c>
      <c r="D42" s="2" t="s">
        <v>308</v>
      </c>
      <c r="E42" s="2"/>
      <c r="F42" s="2"/>
      <c r="G42" s="2"/>
      <c r="H42" s="2"/>
    </row>
    <row r="43" spans="1:8" x14ac:dyDescent="0.3">
      <c r="A43" s="40" t="s">
        <v>309</v>
      </c>
      <c r="B43" s="41"/>
      <c r="C43" s="41"/>
      <c r="D43" s="41"/>
      <c r="E43" s="41"/>
      <c r="F43" s="41"/>
      <c r="G43" s="41"/>
      <c r="H43" s="41"/>
    </row>
    <row r="44" spans="1:8" ht="15" customHeight="1" x14ac:dyDescent="0.3">
      <c r="A44" s="19" t="s">
        <v>310</v>
      </c>
      <c r="B44" s="43">
        <v>2</v>
      </c>
      <c r="C44" s="44" t="s">
        <v>311</v>
      </c>
      <c r="D44" s="2" t="s">
        <v>312</v>
      </c>
      <c r="E44" s="2"/>
      <c r="F44" s="2"/>
      <c r="G44" s="2"/>
      <c r="H44" s="2"/>
    </row>
    <row r="45" spans="1:8" ht="15" customHeight="1" x14ac:dyDescent="0.3">
      <c r="A45" s="19" t="s">
        <v>313</v>
      </c>
      <c r="B45" s="45">
        <v>4000</v>
      </c>
      <c r="C45" s="44" t="s">
        <v>270</v>
      </c>
      <c r="D45" s="2" t="s">
        <v>314</v>
      </c>
      <c r="E45" s="2"/>
      <c r="F45" s="2"/>
      <c r="G45" s="2"/>
      <c r="H45" s="2"/>
    </row>
    <row r="46" spans="1:8" ht="15" customHeight="1" x14ac:dyDescent="0.3">
      <c r="A46" s="19" t="s">
        <v>315</v>
      </c>
      <c r="B46" s="53">
        <v>0.14949999999999999</v>
      </c>
      <c r="C46" s="44" t="s">
        <v>316</v>
      </c>
      <c r="D46" s="2" t="s">
        <v>317</v>
      </c>
      <c r="E46" s="2"/>
      <c r="F46" s="2"/>
      <c r="G46" s="2"/>
      <c r="H46" s="2"/>
    </row>
    <row r="47" spans="1:8" ht="15" customHeight="1" x14ac:dyDescent="0.3">
      <c r="A47" s="19" t="s">
        <v>318</v>
      </c>
      <c r="B47" s="43">
        <v>6</v>
      </c>
      <c r="C47" s="44" t="s">
        <v>319</v>
      </c>
      <c r="D47" s="2" t="s">
        <v>320</v>
      </c>
      <c r="E47" s="2"/>
      <c r="F47" s="2"/>
      <c r="G47" s="2"/>
      <c r="H47" s="2"/>
    </row>
    <row r="48" spans="1:8" ht="15" customHeight="1" x14ac:dyDescent="0.3">
      <c r="A48" s="19" t="s">
        <v>321</v>
      </c>
      <c r="B48" s="50">
        <v>7000</v>
      </c>
      <c r="C48" s="44" t="s">
        <v>270</v>
      </c>
      <c r="D48" s="2" t="s">
        <v>322</v>
      </c>
      <c r="E48" s="2"/>
      <c r="F48" s="2"/>
      <c r="G48" s="2"/>
      <c r="H48" s="2"/>
    </row>
    <row r="49" spans="1:8" ht="15" customHeight="1" x14ac:dyDescent="0.3">
      <c r="A49" s="19" t="s">
        <v>323</v>
      </c>
      <c r="B49" s="50">
        <v>25</v>
      </c>
      <c r="C49" s="44" t="s">
        <v>324</v>
      </c>
      <c r="D49" s="2" t="s">
        <v>325</v>
      </c>
      <c r="E49" s="2"/>
      <c r="F49" s="2"/>
      <c r="G49" s="2"/>
      <c r="H49" s="2"/>
    </row>
    <row r="50" spans="1:8" ht="15" customHeight="1" x14ac:dyDescent="0.3">
      <c r="A50" s="19" t="s">
        <v>326</v>
      </c>
      <c r="B50" s="50">
        <v>20</v>
      </c>
      <c r="C50" s="44" t="s">
        <v>324</v>
      </c>
      <c r="D50" s="2" t="s">
        <v>327</v>
      </c>
      <c r="E50" s="2"/>
      <c r="F50" s="2"/>
      <c r="G50" s="2"/>
      <c r="H50" s="2"/>
    </row>
    <row r="51" spans="1:8" ht="15" customHeight="1" x14ac:dyDescent="0.3">
      <c r="A51" s="19" t="s">
        <v>328</v>
      </c>
      <c r="B51" s="43">
        <v>2</v>
      </c>
      <c r="C51" s="44" t="s">
        <v>329</v>
      </c>
      <c r="D51" s="2"/>
      <c r="E51" s="2"/>
      <c r="F51" s="2"/>
      <c r="G51" s="2"/>
      <c r="H51" s="2"/>
    </row>
    <row r="52" spans="1:8" ht="15" customHeight="1" x14ac:dyDescent="0.3">
      <c r="A52" s="19" t="s">
        <v>330</v>
      </c>
      <c r="B52" s="57">
        <v>4.4000000000000004</v>
      </c>
      <c r="C52" s="44" t="s">
        <v>331</v>
      </c>
      <c r="D52" s="2" t="s">
        <v>332</v>
      </c>
      <c r="E52" s="2"/>
      <c r="F52" s="2"/>
      <c r="G52" s="2"/>
      <c r="H52" s="2"/>
    </row>
    <row r="53" spans="1:8" ht="15" customHeight="1" x14ac:dyDescent="0.3">
      <c r="A53" s="19" t="s">
        <v>333</v>
      </c>
      <c r="B53" s="50">
        <v>15000</v>
      </c>
      <c r="C53" s="44" t="s">
        <v>228</v>
      </c>
      <c r="D53" s="2" t="s">
        <v>334</v>
      </c>
      <c r="E53" s="2"/>
      <c r="F53" s="2"/>
      <c r="G53" s="2"/>
      <c r="H53" s="2"/>
    </row>
    <row r="54" spans="1:8" ht="15" customHeight="1" x14ac:dyDescent="0.3">
      <c r="A54" s="19" t="s">
        <v>335</v>
      </c>
      <c r="B54" s="50">
        <v>8000</v>
      </c>
      <c r="C54" s="44" t="s">
        <v>245</v>
      </c>
      <c r="D54" s="2" t="s">
        <v>336</v>
      </c>
      <c r="E54" s="2"/>
      <c r="F54" s="2"/>
      <c r="G54" s="2"/>
      <c r="H54" s="2"/>
    </row>
    <row r="55" spans="1:8" ht="15" customHeight="1" x14ac:dyDescent="0.3">
      <c r="A55" s="19" t="s">
        <v>337</v>
      </c>
      <c r="B55" s="50">
        <v>15000</v>
      </c>
      <c r="C55" s="44" t="s">
        <v>228</v>
      </c>
      <c r="D55" s="2" t="s">
        <v>338</v>
      </c>
      <c r="E55" s="2"/>
      <c r="F55" s="2"/>
      <c r="G55" s="2"/>
      <c r="H55" s="2"/>
    </row>
    <row r="56" spans="1:8" ht="15" customHeight="1" x14ac:dyDescent="0.3">
      <c r="A56" s="19" t="s">
        <v>339</v>
      </c>
      <c r="B56" s="50">
        <v>5000</v>
      </c>
      <c r="C56" s="44" t="s">
        <v>245</v>
      </c>
      <c r="D56" s="2" t="s">
        <v>336</v>
      </c>
      <c r="E56" s="2"/>
      <c r="F56" s="2"/>
      <c r="G56" s="2"/>
      <c r="H56" s="2"/>
    </row>
    <row r="57" spans="1:8" ht="15" customHeight="1" x14ac:dyDescent="0.3">
      <c r="A57" s="19" t="s">
        <v>340</v>
      </c>
      <c r="B57" s="50">
        <v>8000</v>
      </c>
      <c r="C57" s="44" t="s">
        <v>228</v>
      </c>
      <c r="D57" s="2" t="s">
        <v>341</v>
      </c>
      <c r="E57" s="2"/>
      <c r="F57" s="2"/>
      <c r="G57" s="2"/>
      <c r="H57" s="2"/>
    </row>
    <row r="58" spans="1:8" ht="15" customHeight="1" x14ac:dyDescent="0.3">
      <c r="A58" s="19" t="s">
        <v>342</v>
      </c>
      <c r="B58" s="47">
        <v>0.15</v>
      </c>
      <c r="C58" s="44" t="s">
        <v>259</v>
      </c>
      <c r="D58" s="2" t="s">
        <v>343</v>
      </c>
      <c r="E58" s="2"/>
      <c r="F58" s="2"/>
      <c r="G58" s="2"/>
      <c r="H58" s="2"/>
    </row>
    <row r="59" spans="1:8" x14ac:dyDescent="0.3">
      <c r="A59" s="40" t="s">
        <v>344</v>
      </c>
      <c r="B59" s="41"/>
      <c r="C59" s="41"/>
      <c r="D59" s="41"/>
      <c r="E59" s="41"/>
      <c r="F59" s="41"/>
      <c r="G59" s="41"/>
      <c r="H59" s="41"/>
    </row>
    <row r="60" spans="1:8" ht="15" customHeight="1" x14ac:dyDescent="0.3">
      <c r="A60" s="19" t="s">
        <v>345</v>
      </c>
      <c r="B60" s="45">
        <v>20000</v>
      </c>
      <c r="C60" s="44" t="s">
        <v>228</v>
      </c>
      <c r="D60" s="2" t="s">
        <v>346</v>
      </c>
      <c r="E60" s="2"/>
      <c r="F60" s="2"/>
      <c r="G60" s="2"/>
      <c r="H60" s="2"/>
    </row>
    <row r="61" spans="1:8" ht="15" customHeight="1" x14ac:dyDescent="0.3">
      <c r="A61" s="19" t="s">
        <v>347</v>
      </c>
      <c r="B61" s="45">
        <v>30000</v>
      </c>
      <c r="C61" s="44" t="s">
        <v>228</v>
      </c>
      <c r="D61" s="2" t="s">
        <v>348</v>
      </c>
      <c r="E61" s="2"/>
      <c r="F61" s="2"/>
      <c r="G61" s="2"/>
      <c r="H61" s="2"/>
    </row>
    <row r="62" spans="1:8" ht="15" customHeight="1" x14ac:dyDescent="0.3">
      <c r="A62" s="19" t="s">
        <v>349</v>
      </c>
      <c r="B62" s="46">
        <v>1</v>
      </c>
      <c r="C62" s="44" t="s">
        <v>350</v>
      </c>
      <c r="D62" s="2" t="s">
        <v>351</v>
      </c>
      <c r="E62" s="2"/>
      <c r="F62" s="2"/>
      <c r="G62" s="2"/>
      <c r="H62" s="2"/>
    </row>
    <row r="63" spans="1:8" x14ac:dyDescent="0.3">
      <c r="A63" s="40" t="s">
        <v>352</v>
      </c>
      <c r="B63" s="41"/>
      <c r="C63" s="41"/>
      <c r="D63" s="41"/>
      <c r="E63" s="41"/>
      <c r="F63" s="41"/>
      <c r="G63" s="41"/>
      <c r="H63" s="41"/>
    </row>
    <row r="64" spans="1:8" ht="15" customHeight="1" x14ac:dyDescent="0.3">
      <c r="A64" s="19" t="s">
        <v>353</v>
      </c>
      <c r="B64" s="46">
        <v>1</v>
      </c>
      <c r="C64" s="44" t="s">
        <v>231</v>
      </c>
      <c r="D64" s="2" t="s">
        <v>354</v>
      </c>
      <c r="E64" s="2"/>
      <c r="F64" s="2"/>
      <c r="G64" s="2"/>
      <c r="H64" s="2"/>
    </row>
    <row r="65" spans="1:8" ht="15" customHeight="1" x14ac:dyDescent="0.3">
      <c r="A65" s="19" t="s">
        <v>355</v>
      </c>
      <c r="B65" s="46">
        <v>0.5</v>
      </c>
      <c r="C65" s="44" t="s">
        <v>231</v>
      </c>
      <c r="D65" s="2" t="s">
        <v>356</v>
      </c>
      <c r="E65" s="2"/>
      <c r="F65" s="2"/>
      <c r="G65" s="2"/>
      <c r="H65" s="2"/>
    </row>
    <row r="66" spans="1:8" ht="15" customHeight="1" x14ac:dyDescent="0.3">
      <c r="A66" s="19" t="s">
        <v>357</v>
      </c>
      <c r="B66" s="47">
        <v>0.5</v>
      </c>
      <c r="C66" s="44" t="s">
        <v>231</v>
      </c>
      <c r="D66" s="2" t="s">
        <v>358</v>
      </c>
      <c r="E66" s="2"/>
      <c r="F66" s="2"/>
      <c r="G66" s="2"/>
      <c r="H66" s="2"/>
    </row>
    <row r="67" spans="1:8" ht="15" customHeight="1" x14ac:dyDescent="0.3">
      <c r="A67" s="19" t="s">
        <v>359</v>
      </c>
      <c r="B67" s="47">
        <v>1</v>
      </c>
      <c r="C67" s="44" t="s">
        <v>231</v>
      </c>
      <c r="D67" s="2" t="s">
        <v>360</v>
      </c>
      <c r="E67" s="2"/>
      <c r="F67" s="2"/>
      <c r="G67" s="2"/>
      <c r="H67" s="2"/>
    </row>
    <row r="68" spans="1:8" ht="15" customHeight="1" x14ac:dyDescent="0.3">
      <c r="A68" s="19" t="s">
        <v>361</v>
      </c>
      <c r="B68" s="47">
        <v>0.25</v>
      </c>
      <c r="C68" s="44" t="s">
        <v>231</v>
      </c>
      <c r="D68" s="2" t="s">
        <v>362</v>
      </c>
      <c r="E68" s="2"/>
      <c r="F68" s="2"/>
      <c r="G68" s="2"/>
      <c r="H68" s="2"/>
    </row>
    <row r="69" spans="1:8" x14ac:dyDescent="0.3">
      <c r="A69" s="40" t="s">
        <v>363</v>
      </c>
      <c r="B69" s="41"/>
      <c r="C69" s="41"/>
      <c r="D69" s="41"/>
      <c r="E69" s="41"/>
      <c r="F69" s="41"/>
      <c r="G69" s="41"/>
      <c r="H69" s="41"/>
    </row>
    <row r="70" spans="1:8" ht="15" customHeight="1" x14ac:dyDescent="0.3">
      <c r="A70" s="19" t="s">
        <v>364</v>
      </c>
      <c r="B70" s="52">
        <v>0.01</v>
      </c>
      <c r="C70" s="44" t="s">
        <v>365</v>
      </c>
      <c r="D70" s="2" t="s">
        <v>366</v>
      </c>
      <c r="E70" s="2"/>
      <c r="F70" s="2"/>
      <c r="G70" s="2"/>
      <c r="H70" s="2"/>
    </row>
    <row r="71" spans="1:8" ht="15" customHeight="1" x14ac:dyDescent="0.3">
      <c r="A71" s="19" t="s">
        <v>367</v>
      </c>
      <c r="B71" s="53">
        <v>4.4999999999999998E-2</v>
      </c>
      <c r="C71" s="44" t="s">
        <v>259</v>
      </c>
      <c r="D71" s="2" t="s">
        <v>368</v>
      </c>
      <c r="E71" s="2"/>
      <c r="F71" s="2"/>
      <c r="G71" s="2"/>
      <c r="H71" s="2"/>
    </row>
    <row r="72" spans="1:8" ht="15" customHeight="1" x14ac:dyDescent="0.3">
      <c r="A72" s="19" t="s">
        <v>369</v>
      </c>
      <c r="B72" s="45">
        <v>800</v>
      </c>
      <c r="C72" s="44" t="s">
        <v>270</v>
      </c>
      <c r="D72" s="2" t="s">
        <v>370</v>
      </c>
      <c r="E72" s="2"/>
      <c r="F72" s="2"/>
      <c r="G72" s="2"/>
      <c r="H72" s="2"/>
    </row>
    <row r="73" spans="1:8" ht="15" customHeight="1" x14ac:dyDescent="0.3">
      <c r="A73" s="19" t="s">
        <v>371</v>
      </c>
      <c r="B73" s="46">
        <v>0.02</v>
      </c>
      <c r="C73" s="44" t="s">
        <v>259</v>
      </c>
      <c r="D73" s="2" t="s">
        <v>372</v>
      </c>
      <c r="E73" s="2"/>
      <c r="F73" s="2"/>
      <c r="G73" s="2"/>
      <c r="H73" s="2"/>
    </row>
    <row r="74" spans="1:8" ht="15" customHeight="1" x14ac:dyDescent="0.3">
      <c r="A74" s="19" t="s">
        <v>373</v>
      </c>
      <c r="B74" s="47">
        <v>0.5</v>
      </c>
      <c r="C74" s="44" t="s">
        <v>374</v>
      </c>
      <c r="D74" s="2" t="s">
        <v>375</v>
      </c>
      <c r="E74" s="2"/>
      <c r="F74" s="2"/>
      <c r="G74" s="2"/>
      <c r="H74" s="2"/>
    </row>
    <row r="75" spans="1:8" ht="24.75" customHeight="1" x14ac:dyDescent="0.3">
      <c r="A75" s="19" t="s">
        <v>376</v>
      </c>
      <c r="B75" s="45">
        <v>60</v>
      </c>
      <c r="C75" s="44" t="s">
        <v>377</v>
      </c>
      <c r="D75" s="2" t="s">
        <v>378</v>
      </c>
      <c r="E75" s="2"/>
      <c r="F75" s="2"/>
      <c r="G75" s="2"/>
      <c r="H75" s="2"/>
    </row>
    <row r="76" spans="1:8" ht="15" customHeight="1" x14ac:dyDescent="0.3">
      <c r="A76" s="19" t="s">
        <v>379</v>
      </c>
      <c r="B76" s="46">
        <v>0.33</v>
      </c>
      <c r="C76" s="44" t="s">
        <v>231</v>
      </c>
      <c r="D76" s="2" t="s">
        <v>380</v>
      </c>
      <c r="E76" s="2"/>
      <c r="F76" s="2"/>
      <c r="G76" s="2"/>
      <c r="H76" s="2"/>
    </row>
    <row r="77" spans="1:8" x14ac:dyDescent="0.3">
      <c r="A77" s="40" t="s">
        <v>381</v>
      </c>
      <c r="B77" s="41"/>
      <c r="C77" s="41"/>
      <c r="D77" s="41"/>
      <c r="E77" s="41"/>
      <c r="F77" s="41"/>
      <c r="G77" s="41"/>
      <c r="H77" s="41"/>
    </row>
    <row r="78" spans="1:8" ht="15" customHeight="1" x14ac:dyDescent="0.3">
      <c r="A78" s="19" t="s">
        <v>382</v>
      </c>
      <c r="B78" s="58">
        <v>3.45</v>
      </c>
      <c r="C78" s="44" t="s">
        <v>383</v>
      </c>
      <c r="D78" s="2" t="s">
        <v>384</v>
      </c>
      <c r="E78" s="2"/>
      <c r="F78" s="2"/>
      <c r="G78" s="2"/>
      <c r="H78" s="2"/>
    </row>
    <row r="79" spans="1:8" ht="15" customHeight="1" x14ac:dyDescent="0.3">
      <c r="A79" s="19" t="s">
        <v>385</v>
      </c>
      <c r="B79" s="47">
        <v>0.1</v>
      </c>
      <c r="C79" s="44" t="s">
        <v>386</v>
      </c>
      <c r="D79" s="2" t="s">
        <v>308</v>
      </c>
      <c r="E79" s="2"/>
      <c r="F79" s="2"/>
      <c r="G79" s="2"/>
      <c r="H79" s="2"/>
    </row>
    <row r="80" spans="1:8" ht="15" customHeight="1" x14ac:dyDescent="0.3">
      <c r="A80" s="19" t="s">
        <v>387</v>
      </c>
      <c r="B80" s="45">
        <v>10</v>
      </c>
      <c r="C80" s="44" t="s">
        <v>388</v>
      </c>
      <c r="D80" s="2" t="s">
        <v>336</v>
      </c>
      <c r="E80" s="2"/>
      <c r="F80" s="2"/>
      <c r="G80" s="2"/>
      <c r="H80" s="2"/>
    </row>
    <row r="81" spans="1:8" ht="15" customHeight="1" x14ac:dyDescent="0.3">
      <c r="A81" s="19" t="s">
        <v>389</v>
      </c>
      <c r="B81" s="50">
        <v>200</v>
      </c>
      <c r="C81" s="44" t="s">
        <v>390</v>
      </c>
      <c r="D81" s="2" t="s">
        <v>308</v>
      </c>
      <c r="E81" s="2"/>
      <c r="F81" s="2"/>
      <c r="G81" s="2"/>
      <c r="H81" s="2"/>
    </row>
    <row r="82" spans="1:8" ht="15" customHeight="1" x14ac:dyDescent="0.3">
      <c r="A82" s="19" t="s">
        <v>391</v>
      </c>
      <c r="B82" s="50">
        <v>50</v>
      </c>
      <c r="C82" s="44" t="s">
        <v>390</v>
      </c>
      <c r="D82" s="2" t="s">
        <v>392</v>
      </c>
      <c r="E82" s="2"/>
      <c r="F82" s="2"/>
      <c r="G82" s="2"/>
      <c r="H82" s="2"/>
    </row>
    <row r="83" spans="1:8" x14ac:dyDescent="0.3">
      <c r="A83" s="40" t="s">
        <v>393</v>
      </c>
      <c r="B83" s="41"/>
      <c r="C83" s="41"/>
      <c r="D83" s="41"/>
      <c r="E83" s="41"/>
      <c r="F83" s="41"/>
      <c r="G83" s="41"/>
      <c r="H83" s="41"/>
    </row>
    <row r="84" spans="1:8" ht="15" customHeight="1" x14ac:dyDescent="0.3">
      <c r="A84" s="19" t="s">
        <v>394</v>
      </c>
      <c r="B84" s="46">
        <v>0.5</v>
      </c>
      <c r="C84" s="44" t="s">
        <v>316</v>
      </c>
      <c r="D84" s="2" t="s">
        <v>395</v>
      </c>
      <c r="E84" s="2"/>
      <c r="F84" s="2"/>
      <c r="G84" s="2"/>
      <c r="H84" s="2"/>
    </row>
    <row r="85" spans="1:8" ht="15" customHeight="1" x14ac:dyDescent="0.3">
      <c r="A85" s="19" t="s">
        <v>396</v>
      </c>
      <c r="B85" s="47">
        <v>0.7</v>
      </c>
      <c r="C85" s="44" t="s">
        <v>397</v>
      </c>
      <c r="D85" s="2" t="s">
        <v>398</v>
      </c>
      <c r="E85" s="2"/>
      <c r="F85" s="2"/>
      <c r="G85" s="2"/>
      <c r="H85" s="2"/>
    </row>
    <row r="86" spans="1:8" ht="15" customHeight="1" x14ac:dyDescent="0.3">
      <c r="A86" s="19" t="s">
        <v>399</v>
      </c>
      <c r="B86" s="50">
        <v>5000</v>
      </c>
      <c r="C86" s="44" t="s">
        <v>228</v>
      </c>
      <c r="D86" s="2" t="s">
        <v>400</v>
      </c>
      <c r="E86" s="2"/>
      <c r="F86" s="2"/>
      <c r="G86" s="2"/>
      <c r="H86" s="2"/>
    </row>
    <row r="87" spans="1:8" ht="15" customHeight="1" x14ac:dyDescent="0.3">
      <c r="A87" s="19" t="s">
        <v>401</v>
      </c>
      <c r="B87" s="45">
        <v>120000</v>
      </c>
      <c r="C87" s="44" t="s">
        <v>228</v>
      </c>
      <c r="D87" s="2" t="s">
        <v>402</v>
      </c>
      <c r="E87" s="2"/>
      <c r="F87" s="2"/>
      <c r="G87" s="2"/>
      <c r="H87" s="2"/>
    </row>
    <row r="88" spans="1:8" x14ac:dyDescent="0.3">
      <c r="A88" s="40" t="s">
        <v>403</v>
      </c>
      <c r="B88" s="41"/>
      <c r="C88" s="41"/>
      <c r="D88" s="41"/>
      <c r="E88" s="41"/>
      <c r="F88" s="41"/>
      <c r="G88" s="41"/>
      <c r="H88" s="41"/>
    </row>
    <row r="89" spans="1:8" ht="24.75" customHeight="1" x14ac:dyDescent="0.3">
      <c r="A89" s="19" t="s">
        <v>404</v>
      </c>
      <c r="B89" s="58">
        <v>0.4</v>
      </c>
      <c r="C89" s="44" t="s">
        <v>239</v>
      </c>
      <c r="D89" s="2" t="s">
        <v>405</v>
      </c>
      <c r="E89" s="2"/>
      <c r="F89" s="2"/>
      <c r="G89" s="2"/>
      <c r="H89" s="2"/>
    </row>
    <row r="90" spans="1:8" ht="15" customHeight="1" x14ac:dyDescent="0.3">
      <c r="A90" s="19" t="s">
        <v>406</v>
      </c>
      <c r="B90" s="47">
        <v>0.15</v>
      </c>
      <c r="C90" s="44" t="s">
        <v>231</v>
      </c>
      <c r="D90" s="2" t="s">
        <v>407</v>
      </c>
      <c r="E90" s="2"/>
      <c r="F90" s="2"/>
      <c r="G90" s="2"/>
      <c r="H90" s="2"/>
    </row>
    <row r="91" spans="1:8" ht="15" customHeight="1" x14ac:dyDescent="0.3">
      <c r="A91" s="19" t="s">
        <v>408</v>
      </c>
      <c r="B91" s="47">
        <v>0.01</v>
      </c>
      <c r="C91" s="44" t="s">
        <v>409</v>
      </c>
      <c r="D91" s="2" t="s">
        <v>336</v>
      </c>
      <c r="E91" s="2"/>
      <c r="F91" s="2"/>
      <c r="G91" s="2"/>
      <c r="H91" s="2"/>
    </row>
    <row r="92" spans="1:8" ht="15" customHeight="1" x14ac:dyDescent="0.3">
      <c r="A92" s="19" t="s">
        <v>410</v>
      </c>
      <c r="B92" s="53">
        <v>3.0000000000000001E-3</v>
      </c>
      <c r="C92" s="44" t="s">
        <v>409</v>
      </c>
      <c r="D92" s="2" t="s">
        <v>336</v>
      </c>
      <c r="E92" s="2"/>
      <c r="F92" s="2"/>
      <c r="G92" s="2"/>
      <c r="H92" s="2"/>
    </row>
    <row r="93" spans="1:8" ht="15" customHeight="1" x14ac:dyDescent="0.3">
      <c r="A93" s="19" t="s">
        <v>411</v>
      </c>
      <c r="B93" s="47">
        <v>0.05</v>
      </c>
      <c r="C93" s="44" t="s">
        <v>412</v>
      </c>
      <c r="D93" s="2" t="s">
        <v>336</v>
      </c>
      <c r="E93" s="2"/>
      <c r="F93" s="2"/>
      <c r="G93" s="2"/>
      <c r="H93" s="2"/>
    </row>
    <row r="94" spans="1:8" x14ac:dyDescent="0.3">
      <c r="A94" s="40" t="s">
        <v>413</v>
      </c>
      <c r="B94" s="41"/>
      <c r="C94" s="41"/>
      <c r="D94" s="41"/>
      <c r="E94" s="41"/>
      <c r="F94" s="41"/>
      <c r="G94" s="41"/>
      <c r="H94" s="41"/>
    </row>
    <row r="95" spans="1:8" ht="15" customHeight="1" x14ac:dyDescent="0.3">
      <c r="A95" s="19" t="s">
        <v>414</v>
      </c>
      <c r="B95" s="50">
        <v>1000</v>
      </c>
      <c r="C95" s="44" t="s">
        <v>228</v>
      </c>
      <c r="D95" s="2" t="s">
        <v>415</v>
      </c>
      <c r="E95" s="2"/>
      <c r="F95" s="2"/>
      <c r="G95" s="2"/>
      <c r="H95" s="2"/>
    </row>
    <row r="96" spans="1:8" ht="15" customHeight="1" x14ac:dyDescent="0.3">
      <c r="A96" s="19" t="s">
        <v>416</v>
      </c>
      <c r="B96" s="45">
        <v>100</v>
      </c>
      <c r="C96" s="44" t="s">
        <v>228</v>
      </c>
      <c r="D96" s="2" t="s">
        <v>417</v>
      </c>
      <c r="E96" s="2"/>
      <c r="F96" s="2"/>
      <c r="G96" s="2"/>
      <c r="H96" s="2"/>
    </row>
    <row r="97" spans="1:8" ht="24.75" customHeight="1" x14ac:dyDescent="0.3">
      <c r="A97" s="19" t="s">
        <v>418</v>
      </c>
      <c r="B97" s="45">
        <v>2000</v>
      </c>
      <c r="C97" s="44" t="s">
        <v>228</v>
      </c>
      <c r="D97" s="2" t="s">
        <v>419</v>
      </c>
      <c r="E97" s="2"/>
      <c r="F97" s="2"/>
      <c r="G97" s="2"/>
      <c r="H97" s="2"/>
    </row>
    <row r="98" spans="1:8" ht="15" customHeight="1" x14ac:dyDescent="0.3">
      <c r="A98" s="19" t="s">
        <v>420</v>
      </c>
      <c r="B98" s="45">
        <v>100</v>
      </c>
      <c r="C98" s="44" t="s">
        <v>228</v>
      </c>
      <c r="D98" s="2" t="s">
        <v>421</v>
      </c>
      <c r="E98" s="2"/>
      <c r="F98" s="2"/>
      <c r="G98" s="2"/>
      <c r="H98" s="2"/>
    </row>
    <row r="99" spans="1:8" ht="15" customHeight="1" x14ac:dyDescent="0.3">
      <c r="A99" s="19" t="s">
        <v>422</v>
      </c>
      <c r="B99" s="45">
        <v>1000</v>
      </c>
      <c r="C99" s="44" t="s">
        <v>228</v>
      </c>
      <c r="D99" s="2" t="s">
        <v>423</v>
      </c>
      <c r="E99" s="2"/>
      <c r="F99" s="2"/>
      <c r="G99" s="2"/>
      <c r="H99" s="2"/>
    </row>
    <row r="100" spans="1:8" ht="15" customHeight="1" x14ac:dyDescent="0.3">
      <c r="A100" s="19" t="s">
        <v>424</v>
      </c>
      <c r="B100" s="45">
        <v>100</v>
      </c>
      <c r="C100" s="44" t="s">
        <v>228</v>
      </c>
      <c r="D100" s="2" t="s">
        <v>421</v>
      </c>
      <c r="E100" s="2"/>
      <c r="F100" s="2"/>
      <c r="G100" s="2"/>
      <c r="H100" s="2"/>
    </row>
    <row r="101" spans="1:8" ht="24.75" customHeight="1" x14ac:dyDescent="0.3">
      <c r="A101" s="19" t="s">
        <v>425</v>
      </c>
      <c r="B101" s="45">
        <v>500</v>
      </c>
      <c r="C101" s="44" t="s">
        <v>228</v>
      </c>
      <c r="D101" s="2" t="s">
        <v>426</v>
      </c>
      <c r="E101" s="2"/>
      <c r="F101" s="2"/>
      <c r="G101" s="2"/>
      <c r="H101" s="2"/>
    </row>
    <row r="102" spans="1:8" ht="24.75" customHeight="1" x14ac:dyDescent="0.3">
      <c r="A102" s="19" t="s">
        <v>427</v>
      </c>
      <c r="B102" s="59">
        <f>Assumptions!$B$130+Assumptions!$B$103+Assumptions!$B$131</f>
        <v>0.50679999999999992</v>
      </c>
      <c r="C102" s="44" t="s">
        <v>239</v>
      </c>
      <c r="D102" s="2" t="s">
        <v>428</v>
      </c>
      <c r="E102" s="2"/>
      <c r="F102" s="2"/>
      <c r="G102" s="2"/>
      <c r="H102" s="2"/>
    </row>
    <row r="103" spans="1:8" ht="24.75" customHeight="1" x14ac:dyDescent="0.3">
      <c r="A103" s="19" t="s">
        <v>429</v>
      </c>
      <c r="B103" s="60">
        <v>8.8300000000000003E-2</v>
      </c>
      <c r="C103" s="44" t="s">
        <v>239</v>
      </c>
      <c r="D103" s="2" t="s">
        <v>430</v>
      </c>
      <c r="E103" s="2"/>
      <c r="F103" s="2"/>
      <c r="G103" s="2"/>
      <c r="H103" s="2"/>
    </row>
    <row r="104" spans="1:8" ht="37.5" customHeight="1" x14ac:dyDescent="0.3">
      <c r="A104" s="19" t="s">
        <v>431</v>
      </c>
      <c r="B104" s="46">
        <v>0.5</v>
      </c>
      <c r="C104" s="44" t="s">
        <v>432</v>
      </c>
      <c r="D104" s="2" t="s">
        <v>433</v>
      </c>
      <c r="E104" s="2"/>
      <c r="F104" s="2"/>
      <c r="G104" s="2"/>
      <c r="H104" s="2"/>
    </row>
    <row r="105" spans="1:8" ht="15" customHeight="1" x14ac:dyDescent="0.3">
      <c r="A105" s="19" t="s">
        <v>434</v>
      </c>
      <c r="B105" s="61">
        <v>2</v>
      </c>
      <c r="C105" s="44" t="s">
        <v>435</v>
      </c>
      <c r="D105" s="2" t="s">
        <v>436</v>
      </c>
      <c r="E105" s="2"/>
      <c r="F105" s="2"/>
      <c r="G105" s="2"/>
      <c r="H105" s="2"/>
    </row>
    <row r="106" spans="1:8" ht="15" customHeight="1" x14ac:dyDescent="0.3">
      <c r="A106" s="19" t="s">
        <v>437</v>
      </c>
      <c r="B106" s="45">
        <v>30</v>
      </c>
      <c r="C106" s="44" t="s">
        <v>438</v>
      </c>
      <c r="D106" s="2" t="s">
        <v>439</v>
      </c>
      <c r="E106" s="2"/>
      <c r="F106" s="2"/>
      <c r="G106" s="2"/>
      <c r="H106" s="2"/>
    </row>
    <row r="107" spans="1:8" ht="24.75" customHeight="1" x14ac:dyDescent="0.3">
      <c r="A107" s="19" t="s">
        <v>440</v>
      </c>
      <c r="B107" s="50">
        <v>15000</v>
      </c>
      <c r="C107" s="44" t="s">
        <v>441</v>
      </c>
      <c r="D107" s="2" t="s">
        <v>442</v>
      </c>
      <c r="E107" s="2"/>
      <c r="F107" s="2"/>
      <c r="G107" s="2"/>
      <c r="H107" s="2"/>
    </row>
    <row r="108" spans="1:8" ht="15" customHeight="1" x14ac:dyDescent="0.3">
      <c r="A108" s="19" t="s">
        <v>443</v>
      </c>
      <c r="B108" s="50">
        <v>5000</v>
      </c>
      <c r="C108" s="44" t="s">
        <v>444</v>
      </c>
      <c r="D108" s="2" t="s">
        <v>336</v>
      </c>
      <c r="E108" s="2"/>
      <c r="F108" s="2"/>
      <c r="G108" s="2"/>
      <c r="H108" s="2"/>
    </row>
    <row r="109" spans="1:8" ht="37.5" customHeight="1" x14ac:dyDescent="0.3">
      <c r="A109" s="19" t="s">
        <v>445</v>
      </c>
      <c r="B109" s="62" t="s">
        <v>446</v>
      </c>
      <c r="C109" s="44" t="s">
        <v>447</v>
      </c>
      <c r="D109" s="2" t="s">
        <v>448</v>
      </c>
      <c r="E109" s="2"/>
      <c r="F109" s="2"/>
      <c r="G109" s="2"/>
      <c r="H109" s="2"/>
    </row>
    <row r="110" spans="1:8" ht="15" customHeight="1" x14ac:dyDescent="0.3">
      <c r="A110" s="19" t="s">
        <v>449</v>
      </c>
      <c r="B110" s="57">
        <v>0.09</v>
      </c>
      <c r="C110" s="44" t="s">
        <v>239</v>
      </c>
      <c r="D110" s="2" t="s">
        <v>450</v>
      </c>
      <c r="E110" s="2"/>
      <c r="F110" s="2"/>
      <c r="G110" s="2"/>
      <c r="H110" s="2"/>
    </row>
    <row r="111" spans="1:8" ht="15" customHeight="1" x14ac:dyDescent="0.3">
      <c r="A111" s="19" t="s">
        <v>451</v>
      </c>
      <c r="B111" s="46">
        <v>0.3</v>
      </c>
      <c r="C111" s="44" t="s">
        <v>231</v>
      </c>
      <c r="D111" s="2" t="s">
        <v>452</v>
      </c>
      <c r="E111" s="2"/>
      <c r="F111" s="2"/>
      <c r="G111" s="2"/>
      <c r="H111" s="2"/>
    </row>
    <row r="112" spans="1:8" ht="15" customHeight="1" x14ac:dyDescent="0.3">
      <c r="A112" s="19" t="s">
        <v>453</v>
      </c>
      <c r="B112" s="46">
        <v>0.2</v>
      </c>
      <c r="C112" s="44" t="s">
        <v>231</v>
      </c>
      <c r="D112" s="2" t="s">
        <v>454</v>
      </c>
      <c r="E112" s="2"/>
      <c r="F112" s="2"/>
      <c r="G112" s="2"/>
      <c r="H112" s="2"/>
    </row>
    <row r="113" spans="1:8" ht="24.75" customHeight="1" x14ac:dyDescent="0.3">
      <c r="A113" s="19" t="s">
        <v>455</v>
      </c>
      <c r="B113" s="62" t="s">
        <v>456</v>
      </c>
      <c r="C113" s="44" t="s">
        <v>447</v>
      </c>
      <c r="D113" s="2" t="s">
        <v>457</v>
      </c>
      <c r="E113" s="2"/>
      <c r="F113" s="2"/>
      <c r="G113" s="2"/>
      <c r="H113" s="2"/>
    </row>
    <row r="114" spans="1:8" x14ac:dyDescent="0.3">
      <c r="A114" s="40" t="s">
        <v>458</v>
      </c>
      <c r="B114" s="41"/>
      <c r="C114" s="41"/>
      <c r="D114" s="41"/>
      <c r="E114" s="41"/>
      <c r="F114" s="41"/>
      <c r="G114" s="41"/>
      <c r="H114" s="41"/>
    </row>
    <row r="115" spans="1:8" ht="15" customHeight="1" x14ac:dyDescent="0.3">
      <c r="A115" s="19" t="s">
        <v>459</v>
      </c>
      <c r="B115" s="46">
        <v>0.5</v>
      </c>
      <c r="C115" s="44" t="s">
        <v>231</v>
      </c>
      <c r="D115" s="2" t="s">
        <v>460</v>
      </c>
      <c r="E115" s="2"/>
      <c r="F115" s="2"/>
      <c r="G115" s="2"/>
      <c r="H115" s="2"/>
    </row>
    <row r="116" spans="1:8" ht="15" customHeight="1" x14ac:dyDescent="0.3">
      <c r="A116" s="19" t="s">
        <v>461</v>
      </c>
      <c r="B116" s="45">
        <v>100000</v>
      </c>
      <c r="C116" s="44" t="s">
        <v>228</v>
      </c>
      <c r="D116" s="2" t="s">
        <v>462</v>
      </c>
      <c r="E116" s="2"/>
      <c r="F116" s="2"/>
      <c r="G116" s="2"/>
      <c r="H116" s="2"/>
    </row>
    <row r="117" spans="1:8" ht="15" customHeight="1" x14ac:dyDescent="0.3">
      <c r="A117" s="19" t="s">
        <v>463</v>
      </c>
      <c r="B117" s="50">
        <v>25000</v>
      </c>
      <c r="C117" s="44" t="s">
        <v>228</v>
      </c>
      <c r="D117" s="2" t="s">
        <v>336</v>
      </c>
      <c r="E117" s="2"/>
      <c r="F117" s="2"/>
      <c r="G117" s="2"/>
      <c r="H117" s="2"/>
    </row>
    <row r="118" spans="1:8" ht="15" customHeight="1" x14ac:dyDescent="0.3">
      <c r="A118" s="19" t="s">
        <v>464</v>
      </c>
      <c r="B118" s="58">
        <v>1</v>
      </c>
      <c r="C118" s="44" t="s">
        <v>239</v>
      </c>
      <c r="D118" s="2" t="s">
        <v>465</v>
      </c>
      <c r="E118" s="2"/>
      <c r="F118" s="2"/>
      <c r="G118" s="2"/>
      <c r="H118" s="2"/>
    </row>
    <row r="119" spans="1:8" ht="15" customHeight="1" x14ac:dyDescent="0.3">
      <c r="A119" s="19" t="s">
        <v>466</v>
      </c>
      <c r="B119" s="58">
        <v>1.7</v>
      </c>
      <c r="C119" s="44" t="s">
        <v>239</v>
      </c>
      <c r="D119" s="2" t="s">
        <v>467</v>
      </c>
      <c r="E119" s="2"/>
      <c r="F119" s="2"/>
      <c r="G119" s="2"/>
      <c r="H119" s="2"/>
    </row>
    <row r="120" spans="1:8" ht="15" customHeight="1" x14ac:dyDescent="0.3">
      <c r="A120" s="19" t="s">
        <v>468</v>
      </c>
      <c r="B120" s="47">
        <v>0.3</v>
      </c>
      <c r="C120" s="44" t="s">
        <v>231</v>
      </c>
      <c r="D120" s="2" t="s">
        <v>469</v>
      </c>
      <c r="E120" s="2"/>
      <c r="F120" s="2"/>
      <c r="G120" s="2"/>
      <c r="H120" s="2"/>
    </row>
    <row r="121" spans="1:8" ht="15" customHeight="1" x14ac:dyDescent="0.3">
      <c r="A121" s="19" t="s">
        <v>470</v>
      </c>
      <c r="B121" s="58">
        <v>0.9</v>
      </c>
      <c r="C121" s="44" t="s">
        <v>239</v>
      </c>
      <c r="D121" s="2" t="s">
        <v>471</v>
      </c>
      <c r="E121" s="2"/>
      <c r="F121" s="2"/>
      <c r="G121" s="2"/>
      <c r="H121" s="2"/>
    </row>
    <row r="122" spans="1:8" ht="15" customHeight="1" x14ac:dyDescent="0.3">
      <c r="A122" s="19" t="s">
        <v>472</v>
      </c>
      <c r="B122" s="47">
        <v>0.5</v>
      </c>
      <c r="C122" s="44" t="s">
        <v>231</v>
      </c>
      <c r="D122" s="2" t="s">
        <v>336</v>
      </c>
      <c r="E122" s="2"/>
      <c r="F122" s="2"/>
      <c r="G122" s="2"/>
      <c r="H122" s="2"/>
    </row>
    <row r="123" spans="1:8" ht="15" customHeight="1" x14ac:dyDescent="0.3">
      <c r="A123" s="19" t="s">
        <v>473</v>
      </c>
      <c r="B123" s="58">
        <v>0.4</v>
      </c>
      <c r="C123" s="44" t="s">
        <v>474</v>
      </c>
      <c r="D123" s="2" t="s">
        <v>475</v>
      </c>
      <c r="E123" s="2"/>
      <c r="F123" s="2"/>
      <c r="G123" s="2"/>
      <c r="H123" s="2"/>
    </row>
    <row r="124" spans="1:8" ht="15" customHeight="1" x14ac:dyDescent="0.3">
      <c r="A124" s="19" t="s">
        <v>476</v>
      </c>
      <c r="B124" s="45">
        <v>10</v>
      </c>
      <c r="C124" s="44" t="s">
        <v>477</v>
      </c>
      <c r="D124" s="2" t="s">
        <v>478</v>
      </c>
      <c r="E124" s="2"/>
      <c r="F124" s="2"/>
      <c r="G124" s="2"/>
      <c r="H124" s="2"/>
    </row>
    <row r="125" spans="1:8" ht="15" customHeight="1" x14ac:dyDescent="0.3">
      <c r="A125" s="19" t="s">
        <v>479</v>
      </c>
      <c r="B125" s="50">
        <v>15</v>
      </c>
      <c r="C125" s="44" t="s">
        <v>270</v>
      </c>
      <c r="D125" s="2" t="s">
        <v>480</v>
      </c>
      <c r="E125" s="2"/>
      <c r="F125" s="2"/>
      <c r="G125" s="2"/>
      <c r="H125" s="2"/>
    </row>
    <row r="126" spans="1:8" ht="15" customHeight="1" x14ac:dyDescent="0.3">
      <c r="A126" s="19" t="s">
        <v>481</v>
      </c>
      <c r="B126" s="45">
        <v>10</v>
      </c>
      <c r="C126" s="44" t="s">
        <v>482</v>
      </c>
      <c r="D126" s="2" t="s">
        <v>478</v>
      </c>
      <c r="E126" s="2"/>
      <c r="F126" s="2"/>
      <c r="G126" s="2"/>
      <c r="H126" s="2"/>
    </row>
    <row r="127" spans="1:8" ht="15" customHeight="1" x14ac:dyDescent="0.3">
      <c r="A127" s="19" t="s">
        <v>483</v>
      </c>
      <c r="B127" s="50">
        <v>3000</v>
      </c>
      <c r="C127" s="44" t="s">
        <v>245</v>
      </c>
      <c r="D127" s="2" t="s">
        <v>484</v>
      </c>
      <c r="E127" s="2"/>
      <c r="F127" s="2"/>
      <c r="G127" s="2"/>
      <c r="H127" s="2"/>
    </row>
    <row r="128" spans="1:8" ht="15" customHeight="1" x14ac:dyDescent="0.3">
      <c r="A128" s="19" t="s">
        <v>485</v>
      </c>
      <c r="B128" s="50">
        <v>2</v>
      </c>
      <c r="C128" s="44" t="s">
        <v>486</v>
      </c>
      <c r="D128" s="2" t="s">
        <v>487</v>
      </c>
      <c r="E128" s="2"/>
      <c r="F128" s="2"/>
      <c r="G128" s="2"/>
      <c r="H128" s="2"/>
    </row>
    <row r="129" spans="1:8" ht="15" customHeight="1" x14ac:dyDescent="0.3">
      <c r="A129" s="19" t="s">
        <v>488</v>
      </c>
      <c r="B129" s="50">
        <v>50000</v>
      </c>
      <c r="C129" s="44" t="s">
        <v>228</v>
      </c>
      <c r="D129" s="2" t="s">
        <v>489</v>
      </c>
      <c r="E129" s="2"/>
      <c r="F129" s="2"/>
      <c r="G129" s="2"/>
      <c r="H129" s="2"/>
    </row>
    <row r="130" spans="1:8" ht="15" customHeight="1" x14ac:dyDescent="0.3">
      <c r="A130" s="19" t="s">
        <v>490</v>
      </c>
      <c r="B130" s="60">
        <v>0.27029999999999998</v>
      </c>
      <c r="C130" s="44" t="s">
        <v>239</v>
      </c>
      <c r="D130" s="2" t="s">
        <v>491</v>
      </c>
      <c r="E130" s="2"/>
      <c r="F130" s="2"/>
      <c r="G130" s="2"/>
      <c r="H130" s="2"/>
    </row>
    <row r="131" spans="1:8" ht="15" customHeight="1" x14ac:dyDescent="0.3">
      <c r="A131" s="19" t="s">
        <v>492</v>
      </c>
      <c r="B131" s="60">
        <v>0.1482</v>
      </c>
      <c r="C131" s="44" t="s">
        <v>239</v>
      </c>
      <c r="D131" s="2" t="s">
        <v>491</v>
      </c>
      <c r="E131" s="2"/>
      <c r="F131" s="2"/>
      <c r="G131" s="2"/>
      <c r="H131" s="2"/>
    </row>
    <row r="132" spans="1:8" ht="15" customHeight="1" x14ac:dyDescent="0.3">
      <c r="A132" s="19" t="s">
        <v>493</v>
      </c>
      <c r="B132" s="46">
        <v>0.7</v>
      </c>
      <c r="C132" s="44" t="s">
        <v>231</v>
      </c>
      <c r="D132" s="2" t="s">
        <v>494</v>
      </c>
      <c r="E132" s="2"/>
      <c r="F132" s="2"/>
      <c r="G132" s="2"/>
      <c r="H132" s="2"/>
    </row>
    <row r="133" spans="1:8" ht="15" customHeight="1" x14ac:dyDescent="0.3">
      <c r="A133" s="19" t="s">
        <v>495</v>
      </c>
      <c r="B133" s="47">
        <v>0.1</v>
      </c>
      <c r="C133" s="44" t="s">
        <v>231</v>
      </c>
      <c r="D133" s="2" t="s">
        <v>496</v>
      </c>
      <c r="E133" s="2"/>
      <c r="F133" s="2"/>
      <c r="G133" s="2"/>
      <c r="H133" s="2"/>
    </row>
    <row r="134" spans="1:8" ht="15" customHeight="1" x14ac:dyDescent="0.3">
      <c r="A134" s="19" t="s">
        <v>497</v>
      </c>
      <c r="B134" s="47">
        <v>0.1</v>
      </c>
      <c r="C134" s="44" t="s">
        <v>231</v>
      </c>
      <c r="D134" s="2" t="s">
        <v>498</v>
      </c>
      <c r="E134" s="2"/>
      <c r="F134" s="2"/>
      <c r="G134" s="2"/>
      <c r="H134" s="2"/>
    </row>
    <row r="135" spans="1:8" ht="24.75" customHeight="1" x14ac:dyDescent="0.3">
      <c r="A135" s="19" t="s">
        <v>499</v>
      </c>
      <c r="B135" s="63">
        <v>1</v>
      </c>
      <c r="C135" s="44" t="s">
        <v>500</v>
      </c>
      <c r="D135" s="2" t="s">
        <v>501</v>
      </c>
      <c r="E135" s="2"/>
      <c r="F135" s="2"/>
      <c r="G135" s="2"/>
      <c r="H135" s="2"/>
    </row>
    <row r="136" spans="1:8" ht="15" customHeight="1" x14ac:dyDescent="0.3">
      <c r="A136" s="19" t="s">
        <v>502</v>
      </c>
      <c r="B136" s="47">
        <v>0.5</v>
      </c>
      <c r="C136" s="44" t="s">
        <v>231</v>
      </c>
      <c r="D136" s="2" t="s">
        <v>503</v>
      </c>
      <c r="E136" s="2"/>
      <c r="F136" s="2"/>
      <c r="G136" s="2"/>
      <c r="H136" s="2"/>
    </row>
    <row r="137" spans="1:8" ht="15" customHeight="1" x14ac:dyDescent="0.3">
      <c r="A137" s="19" t="s">
        <v>504</v>
      </c>
      <c r="B137" s="63">
        <v>7</v>
      </c>
      <c r="C137" s="44" t="s">
        <v>262</v>
      </c>
      <c r="D137" s="2" t="s">
        <v>505</v>
      </c>
      <c r="E137" s="2"/>
      <c r="F137" s="2"/>
      <c r="G137" s="2"/>
      <c r="H137" s="2"/>
    </row>
    <row r="138" spans="1:8" ht="15" customHeight="1" x14ac:dyDescent="0.3">
      <c r="A138" s="19" t="s">
        <v>506</v>
      </c>
      <c r="B138" s="47">
        <v>0.33</v>
      </c>
      <c r="C138" s="44" t="s">
        <v>231</v>
      </c>
      <c r="D138" s="2" t="s">
        <v>507</v>
      </c>
      <c r="E138" s="2"/>
      <c r="F138" s="2"/>
      <c r="G138" s="2"/>
      <c r="H138" s="2"/>
    </row>
    <row r="139" spans="1:8" ht="15" customHeight="1" x14ac:dyDescent="0.3">
      <c r="A139" s="19" t="s">
        <v>508</v>
      </c>
      <c r="B139" s="51">
        <f>1-Assumptions!$B$76-Assumptions!$B$138</f>
        <v>0.33999999999999991</v>
      </c>
      <c r="C139" s="44" t="s">
        <v>231</v>
      </c>
      <c r="D139" s="2" t="s">
        <v>509</v>
      </c>
      <c r="E139" s="2"/>
      <c r="F139" s="2"/>
      <c r="G139" s="2"/>
      <c r="H139" s="2"/>
    </row>
    <row r="140" spans="1:8" ht="24.75" customHeight="1" x14ac:dyDescent="0.3">
      <c r="A140" s="19" t="s">
        <v>510</v>
      </c>
      <c r="B140" s="45">
        <v>3000</v>
      </c>
      <c r="C140" s="44" t="s">
        <v>245</v>
      </c>
      <c r="D140" s="2" t="s">
        <v>511</v>
      </c>
      <c r="E140" s="2"/>
      <c r="F140" s="2"/>
      <c r="G140" s="2"/>
      <c r="H140" s="2"/>
    </row>
    <row r="141" spans="1:8" ht="15" customHeight="1" x14ac:dyDescent="0.3">
      <c r="A141" s="19" t="s">
        <v>512</v>
      </c>
      <c r="B141" s="58">
        <v>89.27</v>
      </c>
      <c r="C141" s="44" t="s">
        <v>513</v>
      </c>
      <c r="D141" s="2" t="s">
        <v>514</v>
      </c>
      <c r="E141" s="2"/>
      <c r="F141" s="2"/>
      <c r="G141" s="2"/>
      <c r="H141" s="2"/>
    </row>
    <row r="142" spans="1:8" ht="15" customHeight="1" x14ac:dyDescent="0.3">
      <c r="A142" s="19" t="s">
        <v>515</v>
      </c>
      <c r="B142" s="50">
        <v>10</v>
      </c>
      <c r="C142" s="44" t="s">
        <v>516</v>
      </c>
      <c r="D142" s="2" t="s">
        <v>517</v>
      </c>
      <c r="E142" s="2"/>
      <c r="F142" s="2"/>
      <c r="G142" s="2"/>
      <c r="H142" s="2"/>
    </row>
    <row r="143" spans="1:8" x14ac:dyDescent="0.3">
      <c r="A143" s="40" t="s">
        <v>518</v>
      </c>
      <c r="B143" s="41"/>
      <c r="C143" s="41"/>
      <c r="D143" s="41"/>
      <c r="E143" s="41"/>
      <c r="F143" s="41"/>
      <c r="G143" s="41"/>
      <c r="H143" s="41"/>
    </row>
    <row r="144" spans="1:8" ht="24.75" customHeight="1" x14ac:dyDescent="0.3">
      <c r="A144" s="19" t="s">
        <v>519</v>
      </c>
      <c r="B144" s="62" t="s">
        <v>520</v>
      </c>
      <c r="C144" s="44" t="s">
        <v>447</v>
      </c>
      <c r="D144" s="2" t="s">
        <v>521</v>
      </c>
      <c r="E144" s="2"/>
      <c r="F144" s="2"/>
      <c r="G144" s="2"/>
      <c r="H144" s="2"/>
    </row>
    <row r="145" spans="1:8" ht="15" customHeight="1" x14ac:dyDescent="0.3">
      <c r="A145" s="19" t="s">
        <v>522</v>
      </c>
      <c r="B145" s="62" t="s">
        <v>523</v>
      </c>
      <c r="C145" s="44" t="s">
        <v>447</v>
      </c>
      <c r="D145" s="2" t="s">
        <v>524</v>
      </c>
      <c r="E145" s="2"/>
      <c r="F145" s="2"/>
      <c r="G145" s="2"/>
      <c r="H145" s="2"/>
    </row>
    <row r="146" spans="1:8" ht="24.75" customHeight="1" x14ac:dyDescent="0.3">
      <c r="A146" s="19" t="s">
        <v>525</v>
      </c>
      <c r="B146" s="62" t="s">
        <v>186</v>
      </c>
      <c r="C146" s="44" t="s">
        <v>447</v>
      </c>
      <c r="D146" s="2" t="s">
        <v>526</v>
      </c>
      <c r="E146" s="2"/>
      <c r="F146" s="2"/>
      <c r="G146" s="2"/>
      <c r="H146" s="2"/>
    </row>
    <row r="147" spans="1:8" x14ac:dyDescent="0.3">
      <c r="A147" s="40" t="s">
        <v>527</v>
      </c>
      <c r="B147" s="41"/>
      <c r="C147" s="41"/>
      <c r="D147" s="41"/>
      <c r="E147" s="41"/>
      <c r="F147" s="41"/>
      <c r="G147" s="41"/>
      <c r="H147" s="41"/>
    </row>
    <row r="148" spans="1:8" ht="37.5" customHeight="1" x14ac:dyDescent="0.3">
      <c r="A148" s="19" t="s">
        <v>528</v>
      </c>
      <c r="B148" s="46">
        <v>0.06</v>
      </c>
      <c r="C148" s="44" t="s">
        <v>302</v>
      </c>
      <c r="D148" s="2" t="s">
        <v>529</v>
      </c>
      <c r="E148" s="2"/>
      <c r="F148" s="2"/>
      <c r="G148" s="2"/>
      <c r="H148" s="2"/>
    </row>
    <row r="149" spans="1:8" ht="15" customHeight="1" x14ac:dyDescent="0.3">
      <c r="A149" s="19" t="s">
        <v>530</v>
      </c>
      <c r="B149" s="47">
        <v>0.08</v>
      </c>
      <c r="C149" s="44" t="s">
        <v>231</v>
      </c>
      <c r="D149" s="2" t="s">
        <v>531</v>
      </c>
      <c r="E149" s="2"/>
      <c r="F149" s="2"/>
      <c r="G149" s="2"/>
      <c r="H149" s="2"/>
    </row>
    <row r="150" spans="1:8" ht="15" customHeight="1" x14ac:dyDescent="0.3">
      <c r="A150" s="19" t="s">
        <v>532</v>
      </c>
      <c r="B150" s="46">
        <v>0.5</v>
      </c>
      <c r="C150" s="44" t="s">
        <v>231</v>
      </c>
      <c r="D150" s="2" t="s">
        <v>533</v>
      </c>
      <c r="E150" s="2"/>
      <c r="F150" s="2"/>
      <c r="G150" s="2"/>
      <c r="H150" s="2"/>
    </row>
    <row r="151" spans="1:8" ht="24.75" customHeight="1" x14ac:dyDescent="0.3">
      <c r="A151" s="19" t="s">
        <v>534</v>
      </c>
      <c r="B151" s="43">
        <v>5</v>
      </c>
      <c r="C151" s="44" t="s">
        <v>262</v>
      </c>
      <c r="D151" s="2" t="s">
        <v>535</v>
      </c>
      <c r="E151" s="2"/>
      <c r="F151" s="2"/>
      <c r="G151" s="2"/>
      <c r="H151" s="2"/>
    </row>
    <row r="153" spans="1:8" x14ac:dyDescent="0.3">
      <c r="A153" s="40" t="s">
        <v>536</v>
      </c>
      <c r="B153" s="41"/>
      <c r="C153" s="41"/>
      <c r="D153" s="41"/>
      <c r="E153" s="41"/>
      <c r="F153" s="41"/>
      <c r="G153" s="41"/>
      <c r="H153" s="41"/>
    </row>
    <row r="154" spans="1:8" x14ac:dyDescent="0.3">
      <c r="A154" s="20" t="s">
        <v>219</v>
      </c>
      <c r="B154" s="21" t="s">
        <v>537</v>
      </c>
      <c r="C154" s="21" t="s">
        <v>538</v>
      </c>
      <c r="D154" s="21" t="s">
        <v>539</v>
      </c>
      <c r="E154" s="21" t="s">
        <v>540</v>
      </c>
      <c r="F154" s="21" t="s">
        <v>541</v>
      </c>
      <c r="G154" s="21" t="s">
        <v>221</v>
      </c>
      <c r="H154" s="21" t="s">
        <v>222</v>
      </c>
    </row>
    <row r="155" spans="1:8" ht="22.8" x14ac:dyDescent="0.3">
      <c r="A155" s="19" t="s">
        <v>542</v>
      </c>
      <c r="B155" s="61">
        <v>3</v>
      </c>
      <c r="C155" s="61">
        <v>3</v>
      </c>
      <c r="D155" s="61">
        <v>4</v>
      </c>
      <c r="E155" s="61">
        <v>5</v>
      </c>
      <c r="F155" s="61">
        <v>5</v>
      </c>
      <c r="G155" s="44" t="s">
        <v>543</v>
      </c>
      <c r="H155" s="39" t="s">
        <v>544</v>
      </c>
    </row>
    <row r="156" spans="1:8" ht="22.8" x14ac:dyDescent="0.3">
      <c r="A156" s="19" t="s">
        <v>545</v>
      </c>
      <c r="B156" s="45">
        <v>15</v>
      </c>
      <c r="C156" s="45">
        <v>25</v>
      </c>
      <c r="D156" s="45">
        <v>10</v>
      </c>
      <c r="E156" s="45">
        <v>10</v>
      </c>
      <c r="F156" s="45">
        <v>10</v>
      </c>
      <c r="G156" s="44" t="s">
        <v>546</v>
      </c>
      <c r="H156" s="39" t="s">
        <v>547</v>
      </c>
    </row>
    <row r="157" spans="1:8" ht="22.8" x14ac:dyDescent="0.3">
      <c r="A157" s="19" t="s">
        <v>548</v>
      </c>
      <c r="B157" s="45">
        <v>1</v>
      </c>
      <c r="C157" s="45">
        <v>2</v>
      </c>
      <c r="D157" s="45">
        <v>2</v>
      </c>
      <c r="E157" s="45">
        <v>2</v>
      </c>
      <c r="F157" s="45">
        <v>2</v>
      </c>
      <c r="G157" s="44" t="s">
        <v>486</v>
      </c>
      <c r="H157" s="39" t="s">
        <v>549</v>
      </c>
    </row>
    <row r="158" spans="1:8" ht="22.8" x14ac:dyDescent="0.3">
      <c r="A158" s="19" t="s">
        <v>550</v>
      </c>
      <c r="B158" s="52">
        <v>5.0000000000000001E-3</v>
      </c>
      <c r="C158" s="52">
        <v>0.01</v>
      </c>
      <c r="D158" s="52">
        <v>0.01</v>
      </c>
      <c r="E158" s="52">
        <v>0.01</v>
      </c>
      <c r="F158" s="52">
        <v>0.01</v>
      </c>
      <c r="G158" s="44" t="s">
        <v>551</v>
      </c>
      <c r="H158" s="39" t="s">
        <v>552</v>
      </c>
    </row>
    <row r="159" spans="1:8" ht="22.8" x14ac:dyDescent="0.3">
      <c r="A159" s="19" t="s">
        <v>553</v>
      </c>
      <c r="B159" s="45">
        <v>1</v>
      </c>
      <c r="C159" s="45">
        <v>2</v>
      </c>
      <c r="D159" s="45">
        <v>2</v>
      </c>
      <c r="E159" s="45">
        <v>2</v>
      </c>
      <c r="F159" s="45">
        <v>2</v>
      </c>
      <c r="G159" s="44" t="s">
        <v>554</v>
      </c>
      <c r="H159" s="39" t="s">
        <v>555</v>
      </c>
    </row>
    <row r="160" spans="1:8" x14ac:dyDescent="0.3">
      <c r="A160" s="19" t="s">
        <v>556</v>
      </c>
      <c r="B160" s="64">
        <v>1</v>
      </c>
      <c r="C160" s="64">
        <v>0.6</v>
      </c>
      <c r="D160" s="64">
        <v>0.6</v>
      </c>
      <c r="E160" s="64">
        <v>0.6</v>
      </c>
      <c r="F160" s="64">
        <v>0.6</v>
      </c>
      <c r="G160" s="44" t="s">
        <v>557</v>
      </c>
      <c r="H160" s="39" t="s">
        <v>558</v>
      </c>
    </row>
    <row r="161" spans="1:8" x14ac:dyDescent="0.3">
      <c r="A161" s="19" t="s">
        <v>559</v>
      </c>
      <c r="B161" s="50">
        <v>0</v>
      </c>
      <c r="C161" s="50">
        <v>0</v>
      </c>
      <c r="D161" s="50">
        <v>1</v>
      </c>
      <c r="E161" s="50">
        <v>1</v>
      </c>
      <c r="F161" s="50">
        <v>2</v>
      </c>
      <c r="G161" s="44" t="s">
        <v>311</v>
      </c>
      <c r="H161" s="39" t="s">
        <v>560</v>
      </c>
    </row>
    <row r="162" spans="1:8" x14ac:dyDescent="0.3">
      <c r="A162" s="19" t="s">
        <v>561</v>
      </c>
      <c r="B162" s="50">
        <v>0</v>
      </c>
      <c r="C162" s="50">
        <v>18000</v>
      </c>
      <c r="D162" s="50">
        <v>36000</v>
      </c>
      <c r="E162" s="50">
        <v>36000</v>
      </c>
      <c r="F162" s="50">
        <v>48000</v>
      </c>
      <c r="G162" s="44" t="s">
        <v>245</v>
      </c>
      <c r="H162" s="39" t="s">
        <v>336</v>
      </c>
    </row>
  </sheetData>
  <mergeCells count="132">
    <mergeCell ref="D145:H145"/>
    <mergeCell ref="D146:H146"/>
    <mergeCell ref="D148:H148"/>
    <mergeCell ref="D149:H149"/>
    <mergeCell ref="D150:H150"/>
    <mergeCell ref="D151:H151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4:H144"/>
    <mergeCell ref="D126:H126"/>
    <mergeCell ref="D127:H127"/>
    <mergeCell ref="D128:H128"/>
    <mergeCell ref="D129:H129"/>
    <mergeCell ref="D130:H130"/>
    <mergeCell ref="D131:H131"/>
    <mergeCell ref="D132:H132"/>
    <mergeCell ref="D133:H133"/>
    <mergeCell ref="D134:H134"/>
    <mergeCell ref="D117:H117"/>
    <mergeCell ref="D118:H118"/>
    <mergeCell ref="D119:H119"/>
    <mergeCell ref="D120:H120"/>
    <mergeCell ref="D121:H121"/>
    <mergeCell ref="D122:H122"/>
    <mergeCell ref="D123:H123"/>
    <mergeCell ref="D124:H124"/>
    <mergeCell ref="D125:H125"/>
    <mergeCell ref="D107:H107"/>
    <mergeCell ref="D108:H108"/>
    <mergeCell ref="D109:H109"/>
    <mergeCell ref="D110:H110"/>
    <mergeCell ref="D111:H111"/>
    <mergeCell ref="D112:H112"/>
    <mergeCell ref="D113:H113"/>
    <mergeCell ref="D115:H115"/>
    <mergeCell ref="D116:H116"/>
    <mergeCell ref="D98:H98"/>
    <mergeCell ref="D99:H99"/>
    <mergeCell ref="D100:H100"/>
    <mergeCell ref="D101:H101"/>
    <mergeCell ref="D102:H102"/>
    <mergeCell ref="D103:H103"/>
    <mergeCell ref="D104:H104"/>
    <mergeCell ref="D105:H105"/>
    <mergeCell ref="D106:H106"/>
    <mergeCell ref="D87:H87"/>
    <mergeCell ref="D89:H89"/>
    <mergeCell ref="D90:H90"/>
    <mergeCell ref="D91:H91"/>
    <mergeCell ref="D92:H92"/>
    <mergeCell ref="D93:H93"/>
    <mergeCell ref="D95:H95"/>
    <mergeCell ref="D96:H96"/>
    <mergeCell ref="D97:H97"/>
    <mergeCell ref="D76:H76"/>
    <mergeCell ref="D78:H78"/>
    <mergeCell ref="D79:H79"/>
    <mergeCell ref="D80:H80"/>
    <mergeCell ref="D81:H81"/>
    <mergeCell ref="D82:H82"/>
    <mergeCell ref="D84:H84"/>
    <mergeCell ref="D85:H85"/>
    <mergeCell ref="D86:H86"/>
    <mergeCell ref="D66:H66"/>
    <mergeCell ref="D67:H67"/>
    <mergeCell ref="D68:H68"/>
    <mergeCell ref="D70:H70"/>
    <mergeCell ref="D71:H71"/>
    <mergeCell ref="D72:H72"/>
    <mergeCell ref="D73:H73"/>
    <mergeCell ref="D74:H74"/>
    <mergeCell ref="D75:H75"/>
    <mergeCell ref="D55:H55"/>
    <mergeCell ref="D56:H56"/>
    <mergeCell ref="D57:H57"/>
    <mergeCell ref="D58:H58"/>
    <mergeCell ref="D60:H60"/>
    <mergeCell ref="D61:H61"/>
    <mergeCell ref="D62:H62"/>
    <mergeCell ref="D64:H64"/>
    <mergeCell ref="D65:H6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35:H35"/>
    <mergeCell ref="D36:H36"/>
    <mergeCell ref="D38:H38"/>
    <mergeCell ref="D39:H39"/>
    <mergeCell ref="D40:H40"/>
    <mergeCell ref="D41:H41"/>
    <mergeCell ref="D42:H42"/>
    <mergeCell ref="D44:H44"/>
    <mergeCell ref="D45:H45"/>
    <mergeCell ref="D25:H25"/>
    <mergeCell ref="D26:H26"/>
    <mergeCell ref="D27:H27"/>
    <mergeCell ref="D28:H28"/>
    <mergeCell ref="D30:H30"/>
    <mergeCell ref="D31:H31"/>
    <mergeCell ref="D32:H32"/>
    <mergeCell ref="D33:H33"/>
    <mergeCell ref="D34:H34"/>
    <mergeCell ref="D14:H14"/>
    <mergeCell ref="D16:H16"/>
    <mergeCell ref="D17:H17"/>
    <mergeCell ref="D18:H18"/>
    <mergeCell ref="D19:H19"/>
    <mergeCell ref="D20:H20"/>
    <mergeCell ref="D21:H21"/>
    <mergeCell ref="D23:H23"/>
    <mergeCell ref="D24:H24"/>
    <mergeCell ref="D4:H4"/>
    <mergeCell ref="D6:H6"/>
    <mergeCell ref="D7:H7"/>
    <mergeCell ref="D8:H8"/>
    <mergeCell ref="D9:H9"/>
    <mergeCell ref="D10:H10"/>
    <mergeCell ref="D11:H11"/>
    <mergeCell ref="D12:H12"/>
    <mergeCell ref="D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4"/>
  <sheetViews>
    <sheetView zoomScaleNormal="100" workbookViewId="0">
      <pane xSplit="2" ySplit="4" topLeftCell="C90" activePane="bottomRight" state="frozen"/>
      <selection pane="topRight" activeCell="C1" sqref="C1"/>
      <selection pane="bottomLeft" activeCell="A5" sqref="A5"/>
      <selection pane="bottomRight" activeCell="D20" sqref="D20"/>
    </sheetView>
  </sheetViews>
  <sheetFormatPr defaultColWidth="8.6640625" defaultRowHeight="14.4" x14ac:dyDescent="0.3"/>
  <cols>
    <col min="1" max="1" width="66" customWidth="1"/>
    <col min="2" max="2" width="10" customWidth="1"/>
    <col min="3" max="7" width="14" customWidth="1"/>
  </cols>
  <sheetData>
    <row r="1" spans="1:7" ht="17.399999999999999" x14ac:dyDescent="0.3">
      <c r="A1" s="13" t="s">
        <v>562</v>
      </c>
    </row>
    <row r="2" spans="1:7" x14ac:dyDescent="0.3">
      <c r="A2" s="14" t="s">
        <v>563</v>
      </c>
    </row>
    <row r="4" spans="1:7" x14ac:dyDescent="0.3">
      <c r="A4" s="20" t="s">
        <v>564</v>
      </c>
      <c r="B4" s="21" t="s">
        <v>221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570</v>
      </c>
      <c r="B5" s="41"/>
      <c r="C5" s="41"/>
      <c r="D5" s="41"/>
      <c r="E5" s="41"/>
      <c r="F5" s="41"/>
      <c r="G5" s="41"/>
    </row>
    <row r="6" spans="1:7" x14ac:dyDescent="0.3">
      <c r="A6" s="19" t="s">
        <v>571</v>
      </c>
      <c r="B6" s="44"/>
      <c r="C6" s="43">
        <v>1</v>
      </c>
      <c r="D6" s="43">
        <v>2</v>
      </c>
      <c r="E6" s="43">
        <v>3</v>
      </c>
      <c r="F6" s="43">
        <v>4</v>
      </c>
      <c r="G6" s="43">
        <v>5</v>
      </c>
    </row>
    <row r="7" spans="1:7" x14ac:dyDescent="0.3">
      <c r="A7" s="19" t="s">
        <v>572</v>
      </c>
      <c r="B7" s="44"/>
      <c r="C7" s="48">
        <f>((1+Assumptions!$B$19)^Assumptions!$B$20-(1+Assumptions!$B$19)^C6)/((1+Assumptions!$B$19)^Assumptions!$B$20-1)</f>
        <v>0.81902520187173178</v>
      </c>
      <c r="D7" s="48">
        <f>((1+Assumptions!$B$19)^Assumptions!$B$20-(1+Assumptions!$B$19)^D6)/((1+Assumptions!$B$19)^Assumptions!$B$20-1)</f>
        <v>0.62900166383705036</v>
      </c>
      <c r="E7" s="48">
        <f>((1+Assumptions!$B$19)^Assumptions!$B$20-(1+Assumptions!$B$19)^E6)/((1+Assumptions!$B$19)^Assumptions!$B$20-1)</f>
        <v>0.42947694890063448</v>
      </c>
      <c r="F7" s="48">
        <f>((1+Assumptions!$B$19)^Assumptions!$B$20-(1+Assumptions!$B$19)^F6)/((1+Assumptions!$B$19)^Assumptions!$B$20-1)</f>
        <v>0.21997599821739858</v>
      </c>
      <c r="G7" s="48">
        <f>((1+Assumptions!$B$19)^Assumptions!$B$20-(1+Assumptions!$B$19)^G6)/((1+Assumptions!$B$19)^Assumptions!$B$20-1)</f>
        <v>0</v>
      </c>
    </row>
    <row r="8" spans="1:7" x14ac:dyDescent="0.3">
      <c r="A8" s="19" t="s">
        <v>573</v>
      </c>
      <c r="B8" s="44"/>
      <c r="C8" s="48">
        <f>0.5</f>
        <v>0.5</v>
      </c>
      <c r="D8" s="48">
        <f>(1+C7)/2</f>
        <v>0.90951260093586583</v>
      </c>
      <c r="E8" s="48">
        <f>(C7+D7)/2</f>
        <v>0.72401343285439101</v>
      </c>
      <c r="F8" s="48">
        <f>(D7+E7)/2</f>
        <v>0.52923930636884242</v>
      </c>
      <c r="G8" s="48">
        <f>(E7+F7)/2</f>
        <v>0.32472647355901652</v>
      </c>
    </row>
    <row r="9" spans="1:7" x14ac:dyDescent="0.3">
      <c r="A9" s="19" t="s">
        <v>574</v>
      </c>
      <c r="B9" s="44"/>
      <c r="C9" s="48">
        <f>0.5</f>
        <v>0.5</v>
      </c>
      <c r="D9" s="48">
        <f>1</f>
        <v>1</v>
      </c>
      <c r="E9" s="48">
        <f>1</f>
        <v>1</v>
      </c>
      <c r="F9" s="48">
        <f>1</f>
        <v>1</v>
      </c>
      <c r="G9" s="48">
        <f>1</f>
        <v>1</v>
      </c>
    </row>
    <row r="10" spans="1:7" x14ac:dyDescent="0.3">
      <c r="A10" s="19" t="s">
        <v>575</v>
      </c>
      <c r="B10" s="44"/>
      <c r="C10" s="48">
        <f>MAX(0,((1+Assumptions!$B$26)^Assumptions!$B$27-(1+Assumptions!$B$26)^C6)/((1+Assumptions!$B$26)^Assumptions!$B$27-1))</f>
        <v>0.68742429807218919</v>
      </c>
      <c r="D10" s="48">
        <f>MAX(0,((1+Assumptions!$B$26)^Assumptions!$B$27-(1+Assumptions!$B$26)^D6)/((1+Assumptions!$B$26)^Assumptions!$B$27-1))</f>
        <v>0.35453117551907093</v>
      </c>
      <c r="E10" s="48">
        <f>MAX(0,((1+Assumptions!$B$26)^Assumptions!$B$27-(1+Assumptions!$B$26)^E6)/((1+Assumptions!$B$26)^Assumptions!$B$27-1))</f>
        <v>0</v>
      </c>
      <c r="F10" s="48">
        <f>MAX(0,((1+Assumptions!$B$26)^Assumptions!$B$27-(1+Assumptions!$B$26)^F6)/((1+Assumptions!$B$26)^Assumptions!$B$27-1))</f>
        <v>0</v>
      </c>
      <c r="G10" s="48">
        <f>MAX(0,((1+Assumptions!$B$26)^Assumptions!$B$27-(1+Assumptions!$B$26)^G6)/((1+Assumptions!$B$26)^Assumptions!$B$27-1))</f>
        <v>0</v>
      </c>
    </row>
    <row r="11" spans="1:7" x14ac:dyDescent="0.3">
      <c r="A11" s="19" t="s">
        <v>576</v>
      </c>
      <c r="B11" s="44"/>
      <c r="C11" s="48">
        <f>0.5</f>
        <v>0.5</v>
      </c>
      <c r="D11" s="48">
        <f>(1+C10)/2</f>
        <v>0.84371214903609459</v>
      </c>
      <c r="E11" s="48">
        <f>(C10+D10)/2</f>
        <v>0.52097773679563009</v>
      </c>
      <c r="F11" s="48">
        <f>(D10+E10)/2</f>
        <v>0.17726558775953546</v>
      </c>
      <c r="G11" s="48">
        <f>(E10+F10)/2</f>
        <v>0</v>
      </c>
    </row>
    <row r="12" spans="1:7" x14ac:dyDescent="0.3">
      <c r="A12" s="19" t="s">
        <v>577</v>
      </c>
      <c r="B12" s="44"/>
      <c r="C12" s="48">
        <f>0.5</f>
        <v>0.5</v>
      </c>
      <c r="D12" s="48">
        <f>1</f>
        <v>1</v>
      </c>
      <c r="E12" s="48">
        <f>1</f>
        <v>1</v>
      </c>
      <c r="F12" s="48">
        <f>0.5</f>
        <v>0.5</v>
      </c>
      <c r="G12" s="48">
        <f>0</f>
        <v>0</v>
      </c>
    </row>
    <row r="13" spans="1:7" x14ac:dyDescent="0.3">
      <c r="A13" s="19" t="s">
        <v>578</v>
      </c>
      <c r="B13" s="44"/>
      <c r="C13" s="48">
        <f>0.5*(1+(1-0.5/Assumptions!$B$137))/2</f>
        <v>0.48214285714285715</v>
      </c>
      <c r="D13" s="48">
        <f>MAX(0,1-1/Assumptions!$B$137)</f>
        <v>0.85714285714285721</v>
      </c>
      <c r="E13" s="48">
        <f>MAX(0,1-2/Assumptions!$B$137)</f>
        <v>0.7142857142857143</v>
      </c>
      <c r="F13" s="48">
        <f>MAX(0,1-3/Assumptions!$B$137)</f>
        <v>0.5714285714285714</v>
      </c>
      <c r="G13" s="48">
        <f>MAX(0,1-4/Assumptions!$B$137)</f>
        <v>0.4285714285714286</v>
      </c>
    </row>
    <row r="14" spans="1:7" x14ac:dyDescent="0.3">
      <c r="A14" s="19" t="s">
        <v>579</v>
      </c>
      <c r="B14" s="44"/>
      <c r="C14" s="48">
        <f>0.5/Assumptions!$B$137</f>
        <v>7.1428571428571425E-2</v>
      </c>
      <c r="D14" s="48">
        <f>IF(2-0.5&lt;=Assumptions!$B$137,1/Assumptions!$B$137,0)</f>
        <v>0.14285714285714285</v>
      </c>
      <c r="E14" s="48">
        <f>IF(3-0.5&lt;=Assumptions!$B$137,1/Assumptions!$B$137,0)</f>
        <v>0.14285714285714285</v>
      </c>
      <c r="F14" s="48">
        <f>IF(4-0.5&lt;=Assumptions!$B$137,1/Assumptions!$B$137,0)</f>
        <v>0.14285714285714285</v>
      </c>
      <c r="G14" s="48">
        <f>IF(5-0.5&lt;=Assumptions!$B$137,1/Assumptions!$B$137,0)</f>
        <v>0.14285714285714285</v>
      </c>
    </row>
    <row r="15" spans="1:7" x14ac:dyDescent="0.3">
      <c r="A15" s="40" t="s">
        <v>580</v>
      </c>
      <c r="B15" s="41"/>
      <c r="C15" s="41"/>
      <c r="D15" s="41"/>
      <c r="E15" s="41"/>
      <c r="F15" s="41"/>
      <c r="G15" s="41"/>
    </row>
    <row r="16" spans="1:7" x14ac:dyDescent="0.3">
      <c r="A16" s="19" t="s">
        <v>581</v>
      </c>
      <c r="B16" s="44" t="s">
        <v>543</v>
      </c>
      <c r="C16" s="65">
        <f>Assumptions!$B$155</f>
        <v>3</v>
      </c>
      <c r="D16" s="65">
        <f>Assumptions!$C$155</f>
        <v>3</v>
      </c>
      <c r="E16" s="65">
        <f>Assumptions!$D$155</f>
        <v>4</v>
      </c>
      <c r="F16" s="65">
        <f>Assumptions!$E$155</f>
        <v>5</v>
      </c>
      <c r="G16" s="65">
        <f>Assumptions!$F$155</f>
        <v>5</v>
      </c>
    </row>
    <row r="17" spans="1:7" x14ac:dyDescent="0.3">
      <c r="A17" s="19" t="s">
        <v>582</v>
      </c>
      <c r="B17" s="44" t="s">
        <v>228</v>
      </c>
      <c r="C17" s="54">
        <f>C16*1000*Assumptions!$B$16*Assumptions!$B$18</f>
        <v>2880000</v>
      </c>
      <c r="D17" s="54">
        <f>D16*1000*Assumptions!$B$16*Assumptions!$B$18</f>
        <v>2880000</v>
      </c>
      <c r="E17" s="54">
        <f>E16*1000*Assumptions!$B$16*Assumptions!$B$18</f>
        <v>3840000</v>
      </c>
      <c r="F17" s="54">
        <f>F16*1000*Assumptions!$B$16*Assumptions!$B$18</f>
        <v>4800000</v>
      </c>
      <c r="G17" s="54">
        <f>G16*1000*Assumptions!$B$16*Assumptions!$B$18</f>
        <v>4800000</v>
      </c>
    </row>
    <row r="18" spans="1:7" x14ac:dyDescent="0.3">
      <c r="A18" s="19" t="s">
        <v>583</v>
      </c>
      <c r="B18" s="44" t="s">
        <v>228</v>
      </c>
      <c r="C18" s="54">
        <f>C17*C8</f>
        <v>1440000</v>
      </c>
      <c r="D18" s="54">
        <f>C17*D8+D17*C8</f>
        <v>4059396.2906952938</v>
      </c>
      <c r="E18" s="54">
        <f>C17*E8+D17*D8+E17*C8</f>
        <v>6624554.97731594</v>
      </c>
      <c r="F18" s="54">
        <f>C17*F8+D17*E8+E17*D8+F17*C8</f>
        <v>9501896.2765566371</v>
      </c>
      <c r="G18" s="54">
        <f>C17*G8+D17*F8+E17*E8+F17*D8+G17*C8</f>
        <v>12005293.512845252</v>
      </c>
    </row>
    <row r="19" spans="1:7" x14ac:dyDescent="0.3">
      <c r="A19" s="19" t="s">
        <v>584</v>
      </c>
      <c r="B19" s="44" t="s">
        <v>585</v>
      </c>
      <c r="C19" s="48">
        <f>PMT(Assumptions!$B$19,Assumptions!$B$20,-1)</f>
        <v>0.23097479812826813</v>
      </c>
      <c r="D19" s="48">
        <f>PMT(Assumptions!$B$19,Assumptions!$B$20,-1)</f>
        <v>0.23097479812826813</v>
      </c>
      <c r="E19" s="48">
        <f>PMT(Assumptions!$B$19,Assumptions!$B$20,-1)</f>
        <v>0.23097479812826813</v>
      </c>
      <c r="F19" s="48">
        <f>PMT(Assumptions!$B$19,Assumptions!$B$20,-1)</f>
        <v>0.23097479812826813</v>
      </c>
      <c r="G19" s="48">
        <f>PMT(Assumptions!$B$19,Assumptions!$B$20,-1)</f>
        <v>0.23097479812826813</v>
      </c>
    </row>
    <row r="20" spans="1:7" x14ac:dyDescent="0.3">
      <c r="A20" s="19" t="s">
        <v>586</v>
      </c>
      <c r="B20" s="44" t="s">
        <v>228</v>
      </c>
      <c r="C20" s="54">
        <f>(C17*C9)*C19</f>
        <v>332603.70930470608</v>
      </c>
      <c r="D20" s="54">
        <f>(C17*D9+D17*C9)*D19</f>
        <v>997811.12791411835</v>
      </c>
      <c r="E20" s="54">
        <f>(C17*E9+D17*D9+E17*C9)*E19</f>
        <v>1773886.4496250993</v>
      </c>
      <c r="F20" s="54">
        <f>(C17*F9+D17*E9+E17*D9+F17*C9)*F19</f>
        <v>2771697.5775392177</v>
      </c>
      <c r="G20" s="54">
        <f>(C17*G9+D17*F9+E17*E9+F17*D9+G17*C9)*G19</f>
        <v>3880376.6085549043</v>
      </c>
    </row>
    <row r="21" spans="1:7" x14ac:dyDescent="0.3">
      <c r="A21" s="19" t="s">
        <v>587</v>
      </c>
      <c r="B21" s="44" t="s">
        <v>543</v>
      </c>
      <c r="C21" s="66">
        <f>C16*C9</f>
        <v>1.5</v>
      </c>
      <c r="D21" s="66">
        <f>C16*D9+D16*C9</f>
        <v>4.5</v>
      </c>
      <c r="E21" s="66">
        <f>C16*E9+D16*D9+E16*C9</f>
        <v>8</v>
      </c>
      <c r="F21" s="66">
        <f>C16*F9+D16*E9+E16*D9+F16*C9</f>
        <v>12.5</v>
      </c>
      <c r="G21" s="66">
        <f>C16*G9+D16*F9+E16*E9+F16*D9+G16*C9</f>
        <v>17.5</v>
      </c>
    </row>
    <row r="22" spans="1:7" x14ac:dyDescent="0.3">
      <c r="A22" s="19" t="s">
        <v>588</v>
      </c>
      <c r="B22" s="44" t="s">
        <v>589</v>
      </c>
      <c r="C22" s="54">
        <f>C21*Assumptions!$B$17</f>
        <v>1875</v>
      </c>
      <c r="D22" s="54">
        <f>D21*Assumptions!$B$17</f>
        <v>5625</v>
      </c>
      <c r="E22" s="54">
        <f>E21*Assumptions!$B$17</f>
        <v>10000</v>
      </c>
      <c r="F22" s="54">
        <f>F21*Assumptions!$B$17</f>
        <v>15625</v>
      </c>
      <c r="G22" s="54">
        <f>G21*Assumptions!$B$17</f>
        <v>21875</v>
      </c>
    </row>
    <row r="23" spans="1:7" x14ac:dyDescent="0.3">
      <c r="A23" s="19" t="s">
        <v>590</v>
      </c>
      <c r="B23" s="44" t="s">
        <v>591</v>
      </c>
      <c r="C23" s="54">
        <f>C22*Assumptions!$B$12</f>
        <v>1387.5</v>
      </c>
      <c r="D23" s="54">
        <f>D22*Assumptions!$B$12</f>
        <v>4162.5</v>
      </c>
      <c r="E23" s="54">
        <f>E22*Assumptions!$B$12</f>
        <v>7400</v>
      </c>
      <c r="F23" s="54">
        <f>F22*Assumptions!$B$12</f>
        <v>11562.5</v>
      </c>
      <c r="G23" s="54">
        <f>G22*Assumptions!$B$12</f>
        <v>16187.5</v>
      </c>
    </row>
    <row r="24" spans="1:7" x14ac:dyDescent="0.3">
      <c r="A24" s="40" t="s">
        <v>266</v>
      </c>
      <c r="B24" s="41"/>
      <c r="C24" s="41"/>
      <c r="D24" s="41"/>
      <c r="E24" s="41"/>
      <c r="F24" s="41"/>
      <c r="G24" s="41"/>
    </row>
    <row r="25" spans="1:7" x14ac:dyDescent="0.3">
      <c r="A25" s="19" t="s">
        <v>592</v>
      </c>
      <c r="B25" s="44" t="s">
        <v>546</v>
      </c>
      <c r="C25" s="22">
        <f>Assumptions!$B$156</f>
        <v>15</v>
      </c>
      <c r="D25" s="22">
        <f>Assumptions!$C$156</f>
        <v>25</v>
      </c>
      <c r="E25" s="22">
        <f>Assumptions!$D$156</f>
        <v>10</v>
      </c>
      <c r="F25" s="22">
        <f>Assumptions!$E$156</f>
        <v>10</v>
      </c>
      <c r="G25" s="22">
        <f>Assumptions!$F$156</f>
        <v>10</v>
      </c>
    </row>
    <row r="26" spans="1:7" x14ac:dyDescent="0.3">
      <c r="A26" s="19" t="s">
        <v>582</v>
      </c>
      <c r="B26" s="44" t="s">
        <v>228</v>
      </c>
      <c r="C26" s="54">
        <f>C25*Assumptions!$B$23</f>
        <v>300000</v>
      </c>
      <c r="D26" s="54">
        <f>D25*Assumptions!$B$23</f>
        <v>500000</v>
      </c>
      <c r="E26" s="54">
        <f>E25*Assumptions!$B$23</f>
        <v>200000</v>
      </c>
      <c r="F26" s="54">
        <f>F25*Assumptions!$B$23</f>
        <v>200000</v>
      </c>
      <c r="G26" s="54">
        <f>G25*Assumptions!$B$23</f>
        <v>200000</v>
      </c>
    </row>
    <row r="27" spans="1:7" x14ac:dyDescent="0.3">
      <c r="A27" s="19" t="s">
        <v>583</v>
      </c>
      <c r="B27" s="44" t="s">
        <v>228</v>
      </c>
      <c r="C27" s="54">
        <f>C26*C11</f>
        <v>150000</v>
      </c>
      <c r="D27" s="54">
        <f>C26*D11+D26*C11</f>
        <v>503113.64471082838</v>
      </c>
      <c r="E27" s="54">
        <f>C26*E11+D26*D11+E26*C11</f>
        <v>678149.39555673627</v>
      </c>
      <c r="F27" s="54">
        <f>C26*F11+D26*E11+E26*D11+F26*C11</f>
        <v>582410.97453289456</v>
      </c>
      <c r="G27" s="54">
        <f>C26*G11+D26*F11+E26*E11+F26*D11+G26*C11</f>
        <v>461570.77104611264</v>
      </c>
    </row>
    <row r="28" spans="1:7" x14ac:dyDescent="0.3">
      <c r="A28" s="19" t="s">
        <v>593</v>
      </c>
      <c r="B28" s="44" t="s">
        <v>594</v>
      </c>
      <c r="C28" s="66">
        <f>C25*C12</f>
        <v>7.5</v>
      </c>
      <c r="D28" s="66">
        <f>C25*D12+D25*C12</f>
        <v>27.5</v>
      </c>
      <c r="E28" s="66">
        <f>C25*E12+D25*D12+E25*C12</f>
        <v>45</v>
      </c>
      <c r="F28" s="66">
        <f>C25*F12+D25*E12+E25*D12+F25*C12</f>
        <v>47.5</v>
      </c>
      <c r="G28" s="66">
        <f>C25*G12+D25*F12+E25*E12+F25*D12+G25*C12</f>
        <v>37.5</v>
      </c>
    </row>
    <row r="29" spans="1:7" x14ac:dyDescent="0.3">
      <c r="A29" s="19" t="s">
        <v>595</v>
      </c>
      <c r="B29" s="44" t="s">
        <v>228</v>
      </c>
      <c r="C29" s="54">
        <f>PMT(Assumptions!$B$26/12,Assumptions!$B$27*12,-Assumptions!$B$23)*12</f>
        <v>7355.7606903623491</v>
      </c>
      <c r="D29" s="54">
        <f>PMT(Assumptions!$B$26/12,Assumptions!$B$27*12,-Assumptions!$B$23)*12</f>
        <v>7355.7606903623491</v>
      </c>
      <c r="E29" s="54">
        <f>PMT(Assumptions!$B$26/12,Assumptions!$B$27*12,-Assumptions!$B$23)*12</f>
        <v>7355.7606903623491</v>
      </c>
      <c r="F29" s="54">
        <f>PMT(Assumptions!$B$26/12,Assumptions!$B$27*12,-Assumptions!$B$23)*12</f>
        <v>7355.7606903623491</v>
      </c>
      <c r="G29" s="54">
        <f>PMT(Assumptions!$B$26/12,Assumptions!$B$27*12,-Assumptions!$B$23)*12</f>
        <v>7355.7606903623491</v>
      </c>
    </row>
    <row r="30" spans="1:7" x14ac:dyDescent="0.3">
      <c r="A30" s="19" t="s">
        <v>586</v>
      </c>
      <c r="B30" s="44" t="s">
        <v>228</v>
      </c>
      <c r="C30" s="54">
        <f>C28*C29</f>
        <v>55168.205177717617</v>
      </c>
      <c r="D30" s="54">
        <f>D28*D29</f>
        <v>202283.41898496461</v>
      </c>
      <c r="E30" s="54">
        <f>E28*E29</f>
        <v>331009.23106630571</v>
      </c>
      <c r="F30" s="54">
        <f>F28*F29</f>
        <v>349398.6327922116</v>
      </c>
      <c r="G30" s="54">
        <f>G28*G29</f>
        <v>275841.0258885881</v>
      </c>
    </row>
    <row r="31" spans="1:7" x14ac:dyDescent="0.3">
      <c r="A31" s="19" t="s">
        <v>596</v>
      </c>
      <c r="B31" s="44" t="s">
        <v>228</v>
      </c>
      <c r="C31" s="54">
        <f>C56*12-C29</f>
        <v>2244.2393096376509</v>
      </c>
      <c r="D31" s="54">
        <f>D56*12-D29</f>
        <v>2244.2393096376509</v>
      </c>
      <c r="E31" s="54">
        <f>E56*12-E29</f>
        <v>2244.2393096376509</v>
      </c>
      <c r="F31" s="54">
        <f>F56*12-F29</f>
        <v>2244.2393096376509</v>
      </c>
      <c r="G31" s="54">
        <f>G56*12-G29</f>
        <v>2244.2393096376509</v>
      </c>
    </row>
    <row r="32" spans="1:7" x14ac:dyDescent="0.3">
      <c r="A32" s="19" t="s">
        <v>597</v>
      </c>
      <c r="B32" s="44" t="s">
        <v>228</v>
      </c>
      <c r="C32" s="54">
        <f>C28*Assumptions!$B$24*12*(1-Assumptions!$B$25)</f>
        <v>17999.999999999996</v>
      </c>
      <c r="D32" s="54">
        <f>D28*Assumptions!$B$24*12*(1-Assumptions!$B$25)</f>
        <v>65999.999999999985</v>
      </c>
      <c r="E32" s="54">
        <f>E28*Assumptions!$B$24*12*(1-Assumptions!$B$25)</f>
        <v>107999.99999999997</v>
      </c>
      <c r="F32" s="54">
        <f>F28*Assumptions!$B$24*12*(1-Assumptions!$B$25)</f>
        <v>113999.99999999997</v>
      </c>
      <c r="G32" s="54">
        <f>G28*Assumptions!$B$24*12*(1-Assumptions!$B$25)</f>
        <v>89999.999999999985</v>
      </c>
    </row>
    <row r="33" spans="1:7" x14ac:dyDescent="0.3">
      <c r="A33" s="19" t="s">
        <v>598</v>
      </c>
      <c r="B33" s="44" t="s">
        <v>589</v>
      </c>
      <c r="C33" s="54">
        <f>C28*Assumptions!$B$24*12/Assumptions!$B$11/1000</f>
        <v>177.58484609313342</v>
      </c>
      <c r="D33" s="54">
        <f>D28*Assumptions!$B$24*12/Assumptions!$B$11/1000</f>
        <v>651.14443567482249</v>
      </c>
      <c r="E33" s="54">
        <f>E28*Assumptions!$B$24*12/Assumptions!$B$11/1000</f>
        <v>1065.5090765588004</v>
      </c>
      <c r="F33" s="54">
        <f>F28*Assumptions!$B$24*12/Assumptions!$B$11/1000</f>
        <v>1124.7040252565116</v>
      </c>
      <c r="G33" s="54">
        <f>G28*Assumptions!$B$24*12/Assumptions!$B$11/1000</f>
        <v>887.92423046566705</v>
      </c>
    </row>
    <row r="34" spans="1:7" x14ac:dyDescent="0.3">
      <c r="A34" s="19" t="s">
        <v>599</v>
      </c>
      <c r="B34" s="44" t="s">
        <v>591</v>
      </c>
      <c r="C34" s="54">
        <f>C33*Assumptions!$B$12</f>
        <v>131.41278610891874</v>
      </c>
      <c r="D34" s="54">
        <f>D33*Assumptions!$B$12</f>
        <v>481.84688239936861</v>
      </c>
      <c r="E34" s="54">
        <f>E33*Assumptions!$B$12</f>
        <v>788.47671665351231</v>
      </c>
      <c r="F34" s="54">
        <f>F33*Assumptions!$B$12</f>
        <v>832.28097868981854</v>
      </c>
      <c r="G34" s="54">
        <f>G33*Assumptions!$B$12</f>
        <v>657.06393054459363</v>
      </c>
    </row>
    <row r="35" spans="1:7" x14ac:dyDescent="0.3">
      <c r="A35" s="40" t="s">
        <v>600</v>
      </c>
      <c r="B35" s="41"/>
      <c r="C35" s="41"/>
      <c r="D35" s="41"/>
      <c r="E35" s="41"/>
      <c r="F35" s="41"/>
      <c r="G35" s="41"/>
    </row>
    <row r="36" spans="1:7" x14ac:dyDescent="0.3">
      <c r="A36" s="19" t="s">
        <v>601</v>
      </c>
      <c r="B36" s="44" t="s">
        <v>486</v>
      </c>
      <c r="C36" s="22">
        <f>Assumptions!$B$157</f>
        <v>1</v>
      </c>
      <c r="D36" s="22">
        <f>Assumptions!$C$157</f>
        <v>2</v>
      </c>
      <c r="E36" s="22">
        <f>Assumptions!$D$157</f>
        <v>2</v>
      </c>
      <c r="F36" s="22">
        <f>Assumptions!$E$157</f>
        <v>2</v>
      </c>
      <c r="G36" s="22">
        <f>Assumptions!$F$157</f>
        <v>2</v>
      </c>
    </row>
    <row r="37" spans="1:7" x14ac:dyDescent="0.3">
      <c r="A37" s="19" t="s">
        <v>602</v>
      </c>
      <c r="B37" s="44" t="s">
        <v>228</v>
      </c>
      <c r="C37" s="54">
        <f>C36*EV_Pilot!$B$46*Assumptions!$B$31</f>
        <v>22500</v>
      </c>
      <c r="D37" s="54">
        <f>D36*EV_Pilot!$B$46*Assumptions!$B$31</f>
        <v>45000</v>
      </c>
      <c r="E37" s="54">
        <f>E36*EV_Pilot!$B$46*Assumptions!$B$31</f>
        <v>45000</v>
      </c>
      <c r="F37" s="54">
        <f>F36*EV_Pilot!$B$46*Assumptions!$B$31</f>
        <v>45000</v>
      </c>
      <c r="G37" s="54">
        <f>G36*EV_Pilot!$B$46*Assumptions!$B$31</f>
        <v>45000</v>
      </c>
    </row>
    <row r="38" spans="1:7" x14ac:dyDescent="0.3">
      <c r="A38" s="19" t="s">
        <v>583</v>
      </c>
      <c r="B38" s="44" t="s">
        <v>228</v>
      </c>
      <c r="C38" s="54">
        <f>C37*C13</f>
        <v>10848.214285714286</v>
      </c>
      <c r="D38" s="54">
        <f>C37*D13+D37*C13</f>
        <v>40982.142857142855</v>
      </c>
      <c r="E38" s="54">
        <f>C37*E13+D37*D13+E37*C13</f>
        <v>76339.28571428571</v>
      </c>
      <c r="F38" s="54">
        <f>C37*F13+D37*E13+E37*D13+F37*C13</f>
        <v>105267.85714285716</v>
      </c>
      <c r="G38" s="54">
        <f>C37*G13+D37*F13+E37*E13+F37*D13+G37*C13</f>
        <v>127767.85714285716</v>
      </c>
    </row>
    <row r="39" spans="1:7" x14ac:dyDescent="0.3">
      <c r="A39" s="19" t="s">
        <v>603</v>
      </c>
      <c r="B39" s="44" t="s">
        <v>604</v>
      </c>
      <c r="C39" s="66">
        <f>C36*C9</f>
        <v>0.5</v>
      </c>
      <c r="D39" s="66">
        <f>C36*D9+D36*C9</f>
        <v>2</v>
      </c>
      <c r="E39" s="66">
        <f>C36*E9+D36*D9+E36*C9</f>
        <v>4</v>
      </c>
      <c r="F39" s="66">
        <f>C36*F9+D36*E9+E36*D9+F36*C9</f>
        <v>6</v>
      </c>
      <c r="G39" s="66">
        <f>C36*G9+D36*F9+E36*E9+F36*D9+G36*C9</f>
        <v>8</v>
      </c>
    </row>
    <row r="40" spans="1:7" x14ac:dyDescent="0.3">
      <c r="A40" s="19" t="s">
        <v>605</v>
      </c>
      <c r="B40" s="44" t="s">
        <v>228</v>
      </c>
      <c r="C40" s="22">
        <f>EV_Pilot!$B$50</f>
        <v>8979.74</v>
      </c>
      <c r="D40" s="22">
        <f>EV_Pilot!$B$50</f>
        <v>8979.74</v>
      </c>
      <c r="E40" s="22">
        <f>EV_Pilot!$B$50</f>
        <v>8979.74</v>
      </c>
      <c r="F40" s="22">
        <f>EV_Pilot!$B$50</f>
        <v>8979.74</v>
      </c>
      <c r="G40" s="22">
        <f>EV_Pilot!$B$50</f>
        <v>8979.74</v>
      </c>
    </row>
    <row r="41" spans="1:7" x14ac:dyDescent="0.3">
      <c r="A41" s="19" t="s">
        <v>606</v>
      </c>
      <c r="B41" s="44" t="s">
        <v>228</v>
      </c>
      <c r="C41" s="54">
        <f>C39*EV_Pilot!$B$54</f>
        <v>2244.9349999999999</v>
      </c>
      <c r="D41" s="54">
        <f>D39*EV_Pilot!$B$54</f>
        <v>8979.74</v>
      </c>
      <c r="E41" s="54">
        <f>E39*EV_Pilot!$B$54</f>
        <v>17959.48</v>
      </c>
      <c r="F41" s="54">
        <f>F39*EV_Pilot!$B$54</f>
        <v>26939.22</v>
      </c>
      <c r="G41" s="54">
        <f>G39*EV_Pilot!$B$54</f>
        <v>35918.959999999999</v>
      </c>
    </row>
    <row r="42" spans="1:7" x14ac:dyDescent="0.3">
      <c r="A42" s="19" t="s">
        <v>607</v>
      </c>
      <c r="B42" s="44" t="s">
        <v>228</v>
      </c>
      <c r="C42" s="54">
        <f>C68*EV_Pilot!$B$56+C69*EV_Pilot!$B$57+C39*EV_Pilot!$B$65</f>
        <v>2020.4414999999997</v>
      </c>
      <c r="D42" s="54">
        <f>D68*EV_Pilot!$B$56+D69*EV_Pilot!$B$57+D39*EV_Pilot!$B$65</f>
        <v>8081.7659999999987</v>
      </c>
      <c r="E42" s="54">
        <f>E68*EV_Pilot!$B$56+E69*EV_Pilot!$B$57+E39*EV_Pilot!$B$65</f>
        <v>16163.531999999997</v>
      </c>
      <c r="F42" s="54">
        <f>F68*EV_Pilot!$B$56+F69*EV_Pilot!$B$57+F39*EV_Pilot!$B$65</f>
        <v>24245.297999999995</v>
      </c>
      <c r="G42" s="54">
        <f>G68*EV_Pilot!$B$56+G69*EV_Pilot!$B$57+G39*EV_Pilot!$B$65</f>
        <v>32327.063999999995</v>
      </c>
    </row>
    <row r="43" spans="1:7" x14ac:dyDescent="0.3">
      <c r="A43" s="19" t="s">
        <v>608</v>
      </c>
      <c r="B43" s="44" t="s">
        <v>228</v>
      </c>
      <c r="C43" s="54">
        <f>C37*C14</f>
        <v>1607.1428571428571</v>
      </c>
      <c r="D43" s="54">
        <f>C37*D14+D37*C14</f>
        <v>6428.5714285714284</v>
      </c>
      <c r="E43" s="54">
        <f>C37*E14+D37*D14+E37*C14</f>
        <v>12857.142857142857</v>
      </c>
      <c r="F43" s="54">
        <f>C37*F14+D37*E14+E37*D14+F37*C14</f>
        <v>19285.714285714286</v>
      </c>
      <c r="G43" s="54">
        <f>C37*G14+D37*F14+E37*E14+F37*D14+G37*C14</f>
        <v>25714.285714285714</v>
      </c>
    </row>
    <row r="44" spans="1:7" x14ac:dyDescent="0.3">
      <c r="A44" s="40" t="s">
        <v>609</v>
      </c>
      <c r="B44" s="41"/>
      <c r="C44" s="41"/>
      <c r="D44" s="41"/>
      <c r="E44" s="41"/>
      <c r="F44" s="41"/>
      <c r="G44" s="41"/>
    </row>
    <row r="45" spans="1:7" x14ac:dyDescent="0.3">
      <c r="A45" s="26" t="s">
        <v>582</v>
      </c>
      <c r="B45" s="44" t="s">
        <v>228</v>
      </c>
      <c r="C45" s="67">
        <f t="shared" ref="C45:G46" si="0">C17+C26+C37</f>
        <v>3202500</v>
      </c>
      <c r="D45" s="67">
        <f t="shared" si="0"/>
        <v>3425000</v>
      </c>
      <c r="E45" s="67">
        <f t="shared" si="0"/>
        <v>4085000</v>
      </c>
      <c r="F45" s="67">
        <f t="shared" si="0"/>
        <v>5045000</v>
      </c>
      <c r="G45" s="67">
        <f t="shared" si="0"/>
        <v>5045000</v>
      </c>
    </row>
    <row r="46" spans="1:7" x14ac:dyDescent="0.3">
      <c r="A46" s="26" t="s">
        <v>583</v>
      </c>
      <c r="B46" s="44" t="s">
        <v>228</v>
      </c>
      <c r="C46" s="67">
        <f t="shared" si="0"/>
        <v>1600848.2142857143</v>
      </c>
      <c r="D46" s="67">
        <f t="shared" si="0"/>
        <v>4603492.0782632651</v>
      </c>
      <c r="E46" s="67">
        <f t="shared" si="0"/>
        <v>7379043.6585869621</v>
      </c>
      <c r="F46" s="67">
        <f t="shared" si="0"/>
        <v>10189575.108232388</v>
      </c>
      <c r="G46" s="67">
        <f t="shared" si="0"/>
        <v>12594632.141034221</v>
      </c>
    </row>
    <row r="47" spans="1:7" x14ac:dyDescent="0.3">
      <c r="A47" s="26" t="s">
        <v>586</v>
      </c>
      <c r="B47" s="44" t="s">
        <v>228</v>
      </c>
      <c r="C47" s="67">
        <f>C20+C30+C42</f>
        <v>389792.3559824237</v>
      </c>
      <c r="D47" s="67">
        <f>D20+D30+D42</f>
        <v>1208176.3128990831</v>
      </c>
      <c r="E47" s="67">
        <f>E20+E30+E42</f>
        <v>2121059.2126914053</v>
      </c>
      <c r="F47" s="67">
        <f>F20+F30+F42</f>
        <v>3145341.5083314292</v>
      </c>
      <c r="G47" s="67">
        <f>G20+G30+G42</f>
        <v>4188544.6984434924</v>
      </c>
    </row>
    <row r="48" spans="1:7" x14ac:dyDescent="0.3">
      <c r="A48" s="19" t="s">
        <v>610</v>
      </c>
      <c r="B48" s="44" t="s">
        <v>228</v>
      </c>
      <c r="C48" s="54">
        <f>C47*Assumptions!$B$8*(1+Assumptions!$B$9)</f>
        <v>128631.47747419984</v>
      </c>
      <c r="D48" s="54">
        <f>D47*Assumptions!$B$8*(1+Assumptions!$B$9)</f>
        <v>398698.18325669749</v>
      </c>
      <c r="E48" s="54">
        <f>E47*Assumptions!$B$8*(1+Assumptions!$B$9)</f>
        <v>699949.54018816375</v>
      </c>
      <c r="F48" s="54">
        <f>F47*Assumptions!$B$8*(1+Assumptions!$B$9)</f>
        <v>1037962.6977493718</v>
      </c>
      <c r="G48" s="54">
        <f>G47*Assumptions!$B$8*(1+Assumptions!$B$9)</f>
        <v>1382219.7504863525</v>
      </c>
    </row>
    <row r="49" spans="1:7" x14ac:dyDescent="0.3">
      <c r="A49" s="19" t="s">
        <v>611</v>
      </c>
      <c r="B49" s="44" t="s">
        <v>612</v>
      </c>
      <c r="C49" s="54">
        <f>C45/Assumptions!$B$7</f>
        <v>6405</v>
      </c>
      <c r="D49" s="54">
        <f>D45/Assumptions!$B$7</f>
        <v>6850</v>
      </c>
      <c r="E49" s="54">
        <f>E45/Assumptions!$B$7</f>
        <v>8170</v>
      </c>
      <c r="F49" s="54">
        <f>F45/Assumptions!$B$7</f>
        <v>10090</v>
      </c>
      <c r="G49" s="54">
        <f>G45/Assumptions!$B$7</f>
        <v>10090</v>
      </c>
    </row>
    <row r="50" spans="1:7" x14ac:dyDescent="0.3">
      <c r="A50" s="26" t="s">
        <v>613</v>
      </c>
      <c r="B50" s="44" t="s">
        <v>228</v>
      </c>
      <c r="C50" s="68">
        <f>C18*Assumptions!$B$19+C27*Assumptions!$B$26-C59+C42-C43</f>
        <v>82163.298642857146</v>
      </c>
      <c r="D50" s="68">
        <f>D18*Assumptions!$B$19+D27*Assumptions!$B$26-D59+D42-D43</f>
        <v>237325.39601239713</v>
      </c>
      <c r="E50" s="68">
        <f>E18*Assumptions!$B$19+E27*Assumptions!$B$26-E59+E42-E43</f>
        <v>378613.84871984203</v>
      </c>
      <c r="F50" s="68">
        <f>F18*Assumptions!$B$19+F27*Assumptions!$B$26-F59+F42-F43</f>
        <v>517911.11088675569</v>
      </c>
      <c r="G50" s="68">
        <f>G18*Assumptions!$B$19+G27*Assumptions!$B$26-G59+G42-G43</f>
        <v>636879.55404597416</v>
      </c>
    </row>
    <row r="51" spans="1:7" x14ac:dyDescent="0.3">
      <c r="A51" s="26" t="s">
        <v>614</v>
      </c>
      <c r="B51" s="44" t="s">
        <v>591</v>
      </c>
      <c r="C51" s="68">
        <f>C23+C34</f>
        <v>1518.9127861089187</v>
      </c>
      <c r="D51" s="68">
        <f>D23+D34</f>
        <v>4644.346882399369</v>
      </c>
      <c r="E51" s="68">
        <f>E23+E34</f>
        <v>8188.4767166535121</v>
      </c>
      <c r="F51" s="68">
        <f>F23+F34</f>
        <v>12394.780978689818</v>
      </c>
      <c r="G51" s="68">
        <f>G23+G34</f>
        <v>16844.563930544595</v>
      </c>
    </row>
    <row r="53" spans="1:7" x14ac:dyDescent="0.3">
      <c r="A53" s="16" t="s">
        <v>615</v>
      </c>
    </row>
    <row r="55" spans="1:7" x14ac:dyDescent="0.3">
      <c r="A55" s="69" t="s">
        <v>616</v>
      </c>
      <c r="B55" s="70"/>
      <c r="C55" s="70"/>
      <c r="D55" s="70"/>
      <c r="E55" s="70"/>
      <c r="F55" s="70"/>
      <c r="G55" s="70"/>
    </row>
    <row r="56" spans="1:7" x14ac:dyDescent="0.3">
      <c r="A56" s="71" t="s">
        <v>617</v>
      </c>
      <c r="B56" s="44" t="s">
        <v>228</v>
      </c>
      <c r="C56" s="54">
        <f>MAX(Assumptions!$B$24,Assumptions!$B$72)*Assumptions!$B$25</f>
        <v>800</v>
      </c>
      <c r="D56" s="54">
        <f>MAX(Assumptions!$B$24,Assumptions!$B$72)*Assumptions!$B$25</f>
        <v>800</v>
      </c>
      <c r="E56" s="54">
        <f>MAX(Assumptions!$B$24,Assumptions!$B$72)*Assumptions!$B$25</f>
        <v>800</v>
      </c>
      <c r="F56" s="54">
        <f>MAX(Assumptions!$B$24,Assumptions!$B$72)*Assumptions!$B$25</f>
        <v>800</v>
      </c>
      <c r="G56" s="54">
        <f>MAX(Assumptions!$B$24,Assumptions!$B$72)*Assumptions!$B$25</f>
        <v>800</v>
      </c>
    </row>
    <row r="57" spans="1:7" x14ac:dyDescent="0.3">
      <c r="A57" s="71" t="s">
        <v>618</v>
      </c>
      <c r="B57" s="44" t="s">
        <v>228</v>
      </c>
      <c r="C57" s="54">
        <f>Assumptions!$B$23*Assumptions!$B$73*Assumptions!$B$74</f>
        <v>200</v>
      </c>
      <c r="D57" s="54">
        <f>Assumptions!$B$23*Assumptions!$B$73*Assumptions!$B$74</f>
        <v>200</v>
      </c>
      <c r="E57" s="54">
        <f>Assumptions!$B$23*Assumptions!$B$73*Assumptions!$B$74</f>
        <v>200</v>
      </c>
      <c r="F57" s="54">
        <f>Assumptions!$B$23*Assumptions!$B$73*Assumptions!$B$74</f>
        <v>200</v>
      </c>
      <c r="G57" s="54">
        <f>Assumptions!$B$23*Assumptions!$B$73*Assumptions!$B$74</f>
        <v>200</v>
      </c>
    </row>
    <row r="58" spans="1:7" x14ac:dyDescent="0.3">
      <c r="A58" s="71" t="s">
        <v>619</v>
      </c>
      <c r="B58" s="44" t="s">
        <v>228</v>
      </c>
      <c r="C58" s="54">
        <f>MAX(0,C31)*(1-Assumptions!$B$28)</f>
        <v>1122.1196548188254</v>
      </c>
      <c r="D58" s="54">
        <f>MAX(0,D31)*(1-Assumptions!$B$28)</f>
        <v>1122.1196548188254</v>
      </c>
      <c r="E58" s="54">
        <f>MAX(0,E31)*(1-Assumptions!$B$28)</f>
        <v>1122.1196548188254</v>
      </c>
      <c r="F58" s="54">
        <f>MAX(0,F31)*(1-Assumptions!$B$28)</f>
        <v>1122.1196548188254</v>
      </c>
      <c r="G58" s="54">
        <f>MAX(0,G31)*(1-Assumptions!$B$28)</f>
        <v>1122.1196548188254</v>
      </c>
    </row>
    <row r="59" spans="1:7" x14ac:dyDescent="0.3">
      <c r="A59" s="71" t="s">
        <v>620</v>
      </c>
      <c r="B59" s="44" t="s">
        <v>228</v>
      </c>
      <c r="C59" s="54">
        <f>C28*(MAX(0,C57-C58)+MAX(0,-C31))</f>
        <v>0</v>
      </c>
      <c r="D59" s="54">
        <f>D28*(MAX(0,D57-D58)+MAX(0,-D31))</f>
        <v>0</v>
      </c>
      <c r="E59" s="54">
        <f>E28*(MAX(0,E57-E58)+MAX(0,-E31))</f>
        <v>0</v>
      </c>
      <c r="F59" s="54">
        <f>F28*(MAX(0,F57-F58)+MAX(0,-F31))</f>
        <v>0</v>
      </c>
      <c r="G59" s="54">
        <f>G28*(MAX(0,G57-G58)+MAX(0,-G31))</f>
        <v>0</v>
      </c>
    </row>
    <row r="60" spans="1:7" x14ac:dyDescent="0.3">
      <c r="A60" s="71" t="s">
        <v>621</v>
      </c>
      <c r="B60" s="44" t="s">
        <v>622</v>
      </c>
      <c r="C60" s="65">
        <f>EV_Pilot!$B$9</f>
        <v>60</v>
      </c>
      <c r="D60" s="65">
        <f>EV_Pilot!$B$9</f>
        <v>60</v>
      </c>
      <c r="E60" s="65">
        <f>EV_Pilot!$B$9</f>
        <v>60</v>
      </c>
      <c r="F60" s="65">
        <f>EV_Pilot!$B$9</f>
        <v>60</v>
      </c>
      <c r="G60" s="65">
        <f>EV_Pilot!$B$9</f>
        <v>60</v>
      </c>
    </row>
    <row r="61" spans="1:7" x14ac:dyDescent="0.3">
      <c r="A61" s="71" t="s">
        <v>623</v>
      </c>
      <c r="B61" s="44" t="s">
        <v>228</v>
      </c>
      <c r="C61" s="22">
        <f>EV_Pilot!$B$65</f>
        <v>0</v>
      </c>
      <c r="D61" s="22">
        <f>EV_Pilot!$B$65</f>
        <v>0</v>
      </c>
      <c r="E61" s="22">
        <f>EV_Pilot!$B$65</f>
        <v>0</v>
      </c>
      <c r="F61" s="22">
        <f>EV_Pilot!$B$65</f>
        <v>0</v>
      </c>
      <c r="G61" s="22">
        <f>EV_Pilot!$B$65</f>
        <v>0</v>
      </c>
    </row>
    <row r="62" spans="1:7" x14ac:dyDescent="0.3">
      <c r="A62" s="71" t="s">
        <v>624</v>
      </c>
      <c r="B62" s="44" t="s">
        <v>228</v>
      </c>
      <c r="C62" s="54">
        <f>C39*C61</f>
        <v>0</v>
      </c>
      <c r="D62" s="54">
        <f>D39*D61</f>
        <v>0</v>
      </c>
      <c r="E62" s="54">
        <f>E39*E61</f>
        <v>0</v>
      </c>
      <c r="F62" s="54">
        <f>F39*F61</f>
        <v>0</v>
      </c>
      <c r="G62" s="54">
        <f>G39*G61</f>
        <v>0</v>
      </c>
    </row>
    <row r="63" spans="1:7" x14ac:dyDescent="0.3">
      <c r="A63" s="71" t="s">
        <v>625</v>
      </c>
      <c r="B63" s="44" t="s">
        <v>589</v>
      </c>
      <c r="C63" s="54">
        <f>C22*Assumptions!$B$18</f>
        <v>562.5</v>
      </c>
      <c r="D63" s="54">
        <f>D22*Assumptions!$B$18</f>
        <v>1687.5</v>
      </c>
      <c r="E63" s="54">
        <f>E22*Assumptions!$B$18</f>
        <v>3000</v>
      </c>
      <c r="F63" s="54">
        <f>F22*Assumptions!$B$18</f>
        <v>4687.5</v>
      </c>
      <c r="G63" s="54">
        <f>G22*Assumptions!$B$18</f>
        <v>6562.5</v>
      </c>
    </row>
    <row r="65" spans="1:7" x14ac:dyDescent="0.3">
      <c r="A65" s="69" t="s">
        <v>626</v>
      </c>
      <c r="B65" s="70"/>
      <c r="C65" s="70"/>
      <c r="D65" s="70"/>
      <c r="E65" s="70"/>
      <c r="F65" s="70"/>
      <c r="G65" s="70"/>
    </row>
    <row r="66" spans="1:7" x14ac:dyDescent="0.3">
      <c r="A66" s="71" t="s">
        <v>627</v>
      </c>
      <c r="B66" s="44"/>
      <c r="C66" s="48">
        <f>C9*IF(C6-0.5&lt;EV_Pilot!$B$73,1,0)</f>
        <v>0.5</v>
      </c>
      <c r="D66" s="48">
        <f>D9*IF(D6-0.5&lt;EV_Pilot!$B$73,1,0)</f>
        <v>1</v>
      </c>
      <c r="E66" s="48">
        <f>E9*IF(E6-0.5&lt;EV_Pilot!$B$73,1,0)</f>
        <v>1</v>
      </c>
      <c r="F66" s="48">
        <f>F9*IF(F6-0.5&lt;EV_Pilot!$B$73,1,0)</f>
        <v>1</v>
      </c>
      <c r="G66" s="48">
        <f>G9*IF(G6-0.5&lt;EV_Pilot!$B$73,1,0)</f>
        <v>1</v>
      </c>
    </row>
    <row r="67" spans="1:7" x14ac:dyDescent="0.3">
      <c r="A67" s="71" t="s">
        <v>628</v>
      </c>
      <c r="B67" s="44"/>
      <c r="C67" s="48">
        <f>C9-C66</f>
        <v>0</v>
      </c>
      <c r="D67" s="48">
        <f>D9-D66</f>
        <v>0</v>
      </c>
      <c r="E67" s="48">
        <f>E9-E66</f>
        <v>0</v>
      </c>
      <c r="F67" s="48">
        <f>F9-F66</f>
        <v>0</v>
      </c>
      <c r="G67" s="48">
        <f>G9-G66</f>
        <v>0</v>
      </c>
    </row>
    <row r="68" spans="1:7" x14ac:dyDescent="0.3">
      <c r="A68" s="71" t="s">
        <v>629</v>
      </c>
      <c r="B68" s="44" t="s">
        <v>604</v>
      </c>
      <c r="C68" s="66">
        <f>C36*C66</f>
        <v>0.5</v>
      </c>
      <c r="D68" s="66">
        <f>C36*D66+D36*C66</f>
        <v>2</v>
      </c>
      <c r="E68" s="66">
        <f>C36*E66+D36*D66+E36*C66</f>
        <v>4</v>
      </c>
      <c r="F68" s="66">
        <f>C36*F66+D36*E66+E36*D66+F36*C66</f>
        <v>6</v>
      </c>
      <c r="G68" s="66">
        <f>C36*G66+D36*F66+E36*E66+F36*D66+G36*C66</f>
        <v>8</v>
      </c>
    </row>
    <row r="69" spans="1:7" x14ac:dyDescent="0.3">
      <c r="A69" s="71" t="s">
        <v>630</v>
      </c>
      <c r="B69" s="44" t="s">
        <v>604</v>
      </c>
      <c r="C69" s="66">
        <f>C36*C67</f>
        <v>0</v>
      </c>
      <c r="D69" s="66">
        <f>C36*D67+D36*C67</f>
        <v>0</v>
      </c>
      <c r="E69" s="66">
        <f>C36*E67+D36*D67+E36*C67</f>
        <v>0</v>
      </c>
      <c r="F69" s="66">
        <f>C36*F67+D36*E67+E36*D67+F36*C67</f>
        <v>0</v>
      </c>
      <c r="G69" s="66">
        <f>C36*G67+D36*F67+E36*E67+F36*D67+G36*C67</f>
        <v>0</v>
      </c>
    </row>
    <row r="70" spans="1:7" x14ac:dyDescent="0.3">
      <c r="A70" s="71" t="s">
        <v>631</v>
      </c>
      <c r="B70" s="44" t="s">
        <v>228</v>
      </c>
      <c r="C70" s="54">
        <f>IF(Assumptions!$B$135=1,C69,C39)*EV_Pilot!$B$58</f>
        <v>0</v>
      </c>
      <c r="D70" s="54">
        <f>IF(Assumptions!$B$135=1,D69,D39)*EV_Pilot!$B$58</f>
        <v>0</v>
      </c>
      <c r="E70" s="54">
        <f>IF(Assumptions!$B$135=1,E69,E39)*EV_Pilot!$B$58</f>
        <v>0</v>
      </c>
      <c r="F70" s="54">
        <f>IF(Assumptions!$B$135=1,F69,F39)*EV_Pilot!$B$58</f>
        <v>0</v>
      </c>
      <c r="G70" s="54">
        <f>IF(Assumptions!$B$135=1,G69,G39)*EV_Pilot!$B$58</f>
        <v>0</v>
      </c>
    </row>
    <row r="71" spans="1:7" x14ac:dyDescent="0.3">
      <c r="A71" s="71" t="s">
        <v>632</v>
      </c>
      <c r="B71" s="44" t="s">
        <v>228</v>
      </c>
      <c r="C71" s="54">
        <f>C39*EV_Pilot!$B$66</f>
        <v>0</v>
      </c>
      <c r="D71" s="54">
        <f>D39*EV_Pilot!$B$66</f>
        <v>0</v>
      </c>
      <c r="E71" s="54">
        <f>E39*EV_Pilot!$B$66</f>
        <v>0</v>
      </c>
      <c r="F71" s="54">
        <f>F39*EV_Pilot!$B$66</f>
        <v>0</v>
      </c>
      <c r="G71" s="54">
        <f>G39*EV_Pilot!$B$66</f>
        <v>0</v>
      </c>
    </row>
    <row r="72" spans="1:7" x14ac:dyDescent="0.3">
      <c r="A72" s="71" t="s">
        <v>633</v>
      </c>
      <c r="B72" s="44" t="s">
        <v>228</v>
      </c>
      <c r="C72" s="54">
        <f>IF(Assumptions!$B$135=1,C69,C39)*EV_Pilot!$B$59</f>
        <v>0</v>
      </c>
      <c r="D72" s="54">
        <f>IF(Assumptions!$B$135=1,D69,D39)*EV_Pilot!$B$59</f>
        <v>0</v>
      </c>
      <c r="E72" s="54">
        <f>IF(Assumptions!$B$135=1,E69,E39)*EV_Pilot!$B$59</f>
        <v>0</v>
      </c>
      <c r="F72" s="54">
        <f>IF(Assumptions!$B$135=1,F69,F39)*EV_Pilot!$B$59</f>
        <v>0</v>
      </c>
      <c r="G72" s="54">
        <f>IF(Assumptions!$B$135=1,G69,G39)*EV_Pilot!$B$59</f>
        <v>0</v>
      </c>
    </row>
    <row r="73" spans="1:7" x14ac:dyDescent="0.3">
      <c r="A73" s="71" t="s">
        <v>634</v>
      </c>
      <c r="B73" s="44" t="s">
        <v>228</v>
      </c>
      <c r="C73" s="54">
        <f>C39*EV_Pilot!$B$67</f>
        <v>0</v>
      </c>
      <c r="D73" s="54">
        <f>D39*EV_Pilot!$B$67</f>
        <v>0</v>
      </c>
      <c r="E73" s="54">
        <f>E39*EV_Pilot!$B$67</f>
        <v>0</v>
      </c>
      <c r="F73" s="54">
        <f>F39*EV_Pilot!$B$67</f>
        <v>0</v>
      </c>
      <c r="G73" s="54">
        <f>G39*EV_Pilot!$B$67</f>
        <v>0</v>
      </c>
    </row>
    <row r="75" spans="1:7" x14ac:dyDescent="0.3">
      <c r="A75" s="69" t="s">
        <v>635</v>
      </c>
      <c r="B75" s="70"/>
      <c r="C75" s="70"/>
      <c r="D75" s="70"/>
      <c r="E75" s="70"/>
      <c r="F75" s="70"/>
      <c r="G75" s="70"/>
    </row>
    <row r="76" spans="1:7" x14ac:dyDescent="0.3">
      <c r="A76" s="71" t="s">
        <v>636</v>
      </c>
      <c r="B76" s="44"/>
      <c r="C76" s="48">
        <f>0.5/Assumptions!$B$151</f>
        <v>0.1</v>
      </c>
      <c r="D76" s="48">
        <f>IF(2-0.5&lt;=Assumptions!$B$151,1/Assumptions!$B$151,0)</f>
        <v>0.2</v>
      </c>
      <c r="E76" s="48">
        <f>IF(3-0.5&lt;=Assumptions!$B$151,1/Assumptions!$B$151,0)</f>
        <v>0.2</v>
      </c>
      <c r="F76" s="48">
        <f>IF(4-0.5&lt;=Assumptions!$B$151,1/Assumptions!$B$151,0)</f>
        <v>0.2</v>
      </c>
      <c r="G76" s="48">
        <f>IF(5-0.5&lt;=Assumptions!$B$151,1/Assumptions!$B$151,0)</f>
        <v>0.2</v>
      </c>
    </row>
    <row r="77" spans="1:7" x14ac:dyDescent="0.3">
      <c r="A77" s="71" t="s">
        <v>637</v>
      </c>
      <c r="B77" s="44" t="s">
        <v>228</v>
      </c>
      <c r="C77" s="54">
        <f>C45*C76</f>
        <v>320250</v>
      </c>
      <c r="D77" s="54">
        <f>C45*D76+D45*C76</f>
        <v>983000</v>
      </c>
      <c r="E77" s="54">
        <f>C45*E76+D45*D76+E45*C76</f>
        <v>1734000</v>
      </c>
      <c r="F77" s="54">
        <f>C45*F76+D45*E76+E45*D76+F45*C76</f>
        <v>2647000</v>
      </c>
      <c r="G77" s="54">
        <f>C45*G76+D45*F76+E45*E76+F45*D76+G45*C76</f>
        <v>3656000</v>
      </c>
    </row>
    <row r="78" spans="1:7" x14ac:dyDescent="0.3">
      <c r="A78" s="71" t="s">
        <v>638</v>
      </c>
      <c r="B78" s="44" t="s">
        <v>228</v>
      </c>
      <c r="C78" s="54">
        <f>C77*Assumptions!$B$148*(1+Assumptions!$B$149)*Assumptions!$B$150</f>
        <v>10376.1</v>
      </c>
      <c r="D78" s="54">
        <f>D77*Assumptions!$B$148*(1+Assumptions!$B$149)*Assumptions!$B$150</f>
        <v>31849.200000000001</v>
      </c>
      <c r="E78" s="54">
        <f>E77*Assumptions!$B$148*(1+Assumptions!$B$149)*Assumptions!$B$150</f>
        <v>56181.600000000006</v>
      </c>
      <c r="F78" s="54">
        <f>F77*Assumptions!$B$148*(1+Assumptions!$B$149)*Assumptions!$B$150</f>
        <v>85762.8</v>
      </c>
      <c r="G78" s="54">
        <f>G77*Assumptions!$B$148*(1+Assumptions!$B$149)*Assumptions!$B$150</f>
        <v>118454.40000000001</v>
      </c>
    </row>
    <row r="81" spans="1:7" x14ac:dyDescent="0.3">
      <c r="A81" s="40" t="s">
        <v>639</v>
      </c>
      <c r="B81" s="41"/>
      <c r="C81" s="41"/>
      <c r="D81" s="41"/>
      <c r="E81" s="41"/>
      <c r="F81" s="41"/>
      <c r="G81" s="41"/>
    </row>
    <row r="82" spans="1:7" x14ac:dyDescent="0.3">
      <c r="A82" s="20" t="s">
        <v>640</v>
      </c>
      <c r="B82" s="21" t="s">
        <v>18</v>
      </c>
      <c r="C82" s="21" t="s">
        <v>19</v>
      </c>
      <c r="D82" s="21" t="s">
        <v>641</v>
      </c>
      <c r="E82" s="21" t="s">
        <v>642</v>
      </c>
    </row>
    <row r="83" spans="1:7" x14ac:dyDescent="0.3">
      <c r="A83" s="19" t="s">
        <v>643</v>
      </c>
      <c r="B83" s="25">
        <f>Assumptions!$B$64</f>
        <v>1</v>
      </c>
      <c r="C83" s="46">
        <v>0</v>
      </c>
      <c r="D83" s="101">
        <f t="shared" ref="D83:D103" si="1">IF(B83=0,"",C83/B83-1)</f>
        <v>-1</v>
      </c>
      <c r="E83" s="73" t="s">
        <v>644</v>
      </c>
    </row>
    <row r="84" spans="1:7" x14ac:dyDescent="0.3">
      <c r="A84" s="19" t="s">
        <v>645</v>
      </c>
      <c r="B84" s="22">
        <f>Assumptions!$B$35</f>
        <v>60</v>
      </c>
      <c r="C84" s="56">
        <f>C93*C94</f>
        <v>30</v>
      </c>
      <c r="D84" s="101">
        <f t="shared" si="1"/>
        <v>-0.5</v>
      </c>
      <c r="E84" s="73" t="s">
        <v>646</v>
      </c>
    </row>
    <row r="85" spans="1:7" x14ac:dyDescent="0.3">
      <c r="A85" s="19" t="s">
        <v>647</v>
      </c>
      <c r="B85" s="22">
        <f>Assumptions!$B$24</f>
        <v>1000</v>
      </c>
      <c r="C85" s="45">
        <v>500</v>
      </c>
      <c r="D85" s="101">
        <f t="shared" si="1"/>
        <v>-0.5</v>
      </c>
      <c r="E85" s="73" t="s">
        <v>648</v>
      </c>
    </row>
    <row r="86" spans="1:7" x14ac:dyDescent="0.3">
      <c r="A86" s="19" t="s">
        <v>649</v>
      </c>
      <c r="B86" s="22">
        <f>Assumptions!$C$159</f>
        <v>2</v>
      </c>
      <c r="C86" s="45">
        <v>1</v>
      </c>
      <c r="D86" s="101">
        <f t="shared" si="1"/>
        <v>-0.5</v>
      </c>
      <c r="E86" s="73" t="s">
        <v>650</v>
      </c>
    </row>
    <row r="87" spans="1:7" x14ac:dyDescent="0.3">
      <c r="A87" s="19" t="s">
        <v>651</v>
      </c>
      <c r="B87" s="25">
        <f>Assumptions!$B$14</f>
        <v>0.5</v>
      </c>
      <c r="C87" s="46">
        <v>0.3</v>
      </c>
      <c r="D87" s="101">
        <f t="shared" si="1"/>
        <v>-0.4</v>
      </c>
      <c r="E87" s="73" t="s">
        <v>652</v>
      </c>
    </row>
    <row r="88" spans="1:7" x14ac:dyDescent="0.3">
      <c r="A88" s="19" t="s">
        <v>342</v>
      </c>
      <c r="B88" s="25">
        <f>Assumptions!$B$58</f>
        <v>0.15</v>
      </c>
      <c r="C88" s="46">
        <v>0.2</v>
      </c>
      <c r="D88" s="72">
        <f t="shared" si="1"/>
        <v>0.33333333333333348</v>
      </c>
      <c r="E88" s="73" t="s">
        <v>653</v>
      </c>
    </row>
    <row r="89" spans="1:7" x14ac:dyDescent="0.3">
      <c r="A89" s="19" t="s">
        <v>654</v>
      </c>
      <c r="B89" s="47">
        <f>0</f>
        <v>0</v>
      </c>
      <c r="C89" s="46">
        <v>0.2</v>
      </c>
      <c r="D89" s="72" t="str">
        <f t="shared" si="1"/>
        <v/>
      </c>
      <c r="E89" s="73" t="s">
        <v>655</v>
      </c>
    </row>
    <row r="90" spans="1:7" x14ac:dyDescent="0.3">
      <c r="A90" s="19" t="s">
        <v>656</v>
      </c>
      <c r="B90" s="74">
        <f>Assumptions!$C$160</f>
        <v>0.6</v>
      </c>
      <c r="C90" s="64">
        <v>0.4</v>
      </c>
      <c r="D90" s="101">
        <f t="shared" si="1"/>
        <v>-0.33333333333333326</v>
      </c>
      <c r="E90" s="73" t="s">
        <v>657</v>
      </c>
    </row>
    <row r="91" spans="1:7" x14ac:dyDescent="0.3">
      <c r="A91" s="19" t="s">
        <v>658</v>
      </c>
      <c r="B91" s="25">
        <f>Assumptions!$B$73</f>
        <v>0.02</v>
      </c>
      <c r="C91" s="46">
        <v>0.1</v>
      </c>
      <c r="D91" s="72">
        <f t="shared" si="1"/>
        <v>4</v>
      </c>
      <c r="E91" s="73" t="s">
        <v>659</v>
      </c>
    </row>
    <row r="92" spans="1:7" x14ac:dyDescent="0.3">
      <c r="A92" s="19" t="s">
        <v>660</v>
      </c>
      <c r="B92" s="22">
        <f>Assumptions!$D$161</f>
        <v>1</v>
      </c>
      <c r="C92" s="45">
        <v>0</v>
      </c>
      <c r="D92" s="101">
        <f t="shared" si="1"/>
        <v>-1</v>
      </c>
      <c r="E92" s="73" t="s">
        <v>661</v>
      </c>
    </row>
    <row r="93" spans="1:7" x14ac:dyDescent="0.3">
      <c r="A93" s="19" t="s">
        <v>662</v>
      </c>
      <c r="B93" s="65">
        <f>Assumptions!$B$105</f>
        <v>2</v>
      </c>
      <c r="C93" s="61">
        <v>1.5</v>
      </c>
      <c r="D93" s="101">
        <f t="shared" si="1"/>
        <v>-0.25</v>
      </c>
      <c r="E93" s="73" t="s">
        <v>663</v>
      </c>
    </row>
    <row r="94" spans="1:7" x14ac:dyDescent="0.3">
      <c r="A94" s="19" t="s">
        <v>664</v>
      </c>
      <c r="B94" s="22">
        <f>Assumptions!$B$106</f>
        <v>30</v>
      </c>
      <c r="C94" s="45">
        <v>20</v>
      </c>
      <c r="D94" s="101">
        <f t="shared" si="1"/>
        <v>-0.33333333333333337</v>
      </c>
      <c r="E94" s="73" t="s">
        <v>665</v>
      </c>
    </row>
    <row r="95" spans="1:7" x14ac:dyDescent="0.3">
      <c r="A95" s="19" t="s">
        <v>666</v>
      </c>
      <c r="B95" s="47">
        <f>0</f>
        <v>0</v>
      </c>
      <c r="C95" s="46">
        <v>0.2</v>
      </c>
      <c r="D95" s="72" t="str">
        <f t="shared" si="1"/>
        <v/>
      </c>
      <c r="E95" s="73" t="s">
        <v>667</v>
      </c>
    </row>
    <row r="96" spans="1:7" x14ac:dyDescent="0.3">
      <c r="A96" s="19" t="s">
        <v>668</v>
      </c>
      <c r="B96" s="47">
        <f>0</f>
        <v>0</v>
      </c>
      <c r="C96" s="46">
        <v>0.5</v>
      </c>
      <c r="D96" s="72" t="str">
        <f t="shared" si="1"/>
        <v/>
      </c>
      <c r="E96" s="73" t="s">
        <v>669</v>
      </c>
    </row>
    <row r="97" spans="1:5" x14ac:dyDescent="0.3">
      <c r="A97" s="19" t="s">
        <v>670</v>
      </c>
      <c r="B97" s="47">
        <f>0</f>
        <v>0</v>
      </c>
      <c r="C97" s="46">
        <v>0.1</v>
      </c>
      <c r="D97" s="72" t="str">
        <f t="shared" si="1"/>
        <v/>
      </c>
      <c r="E97" s="73" t="s">
        <v>671</v>
      </c>
    </row>
    <row r="98" spans="1:5" x14ac:dyDescent="0.3">
      <c r="A98" s="19" t="s">
        <v>672</v>
      </c>
      <c r="B98" s="43">
        <f>1</f>
        <v>1</v>
      </c>
      <c r="C98" s="63">
        <v>0</v>
      </c>
      <c r="D98" s="101">
        <f t="shared" si="1"/>
        <v>-1</v>
      </c>
      <c r="E98" s="73" t="s">
        <v>673</v>
      </c>
    </row>
    <row r="99" spans="1:5" x14ac:dyDescent="0.3">
      <c r="A99" s="19" t="s">
        <v>674</v>
      </c>
      <c r="B99" s="22">
        <f>Assumptions!$B$124</f>
        <v>10</v>
      </c>
      <c r="C99" s="45">
        <v>5</v>
      </c>
      <c r="D99" s="101">
        <f t="shared" si="1"/>
        <v>-0.5</v>
      </c>
      <c r="E99" s="73" t="s">
        <v>675</v>
      </c>
    </row>
    <row r="100" spans="1:5" x14ac:dyDescent="0.3">
      <c r="A100" s="19" t="s">
        <v>676</v>
      </c>
      <c r="B100" s="22">
        <f>Assumptions!$B$126</f>
        <v>10</v>
      </c>
      <c r="C100" s="45">
        <v>5</v>
      </c>
      <c r="D100" s="101">
        <f t="shared" si="1"/>
        <v>-0.5</v>
      </c>
      <c r="E100" s="73" t="s">
        <v>677</v>
      </c>
    </row>
    <row r="101" spans="1:5" x14ac:dyDescent="0.3">
      <c r="A101" s="19" t="s">
        <v>678</v>
      </c>
      <c r="B101" s="25">
        <f>Assumptions!$B$111</f>
        <v>0.3</v>
      </c>
      <c r="C101" s="75">
        <f>Assumptions!$B$112</f>
        <v>0.2</v>
      </c>
      <c r="D101" s="101">
        <f t="shared" si="1"/>
        <v>-0.33333333333333326</v>
      </c>
      <c r="E101" s="73" t="s">
        <v>679</v>
      </c>
    </row>
    <row r="102" spans="1:5" x14ac:dyDescent="0.3">
      <c r="A102" s="19" t="s">
        <v>528</v>
      </c>
      <c r="B102" s="25">
        <f>Assumptions!$B$148</f>
        <v>0.06</v>
      </c>
      <c r="C102" s="46">
        <v>7.0000000000000007E-2</v>
      </c>
      <c r="D102" s="72">
        <f t="shared" si="1"/>
        <v>0.16666666666666674</v>
      </c>
      <c r="E102" s="73" t="s">
        <v>680</v>
      </c>
    </row>
    <row r="103" spans="1:5" x14ac:dyDescent="0.3">
      <c r="A103" s="19" t="s">
        <v>532</v>
      </c>
      <c r="B103" s="25">
        <f>Assumptions!$B$150</f>
        <v>0.5</v>
      </c>
      <c r="C103" s="46">
        <v>1</v>
      </c>
      <c r="D103" s="72">
        <f t="shared" si="1"/>
        <v>1</v>
      </c>
      <c r="E103" s="73" t="s">
        <v>681</v>
      </c>
    </row>
    <row r="104" spans="1:5" x14ac:dyDescent="0.3">
      <c r="A104" s="19" t="s">
        <v>682</v>
      </c>
      <c r="B104" s="76">
        <f>Assumptions!$B$32</f>
        <v>1.4</v>
      </c>
      <c r="C104" s="77">
        <f>Assumptions!$B$32*(1-Pools_Scenarios!$C$89)</f>
        <v>1.1199999999999999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3"/>
  <sheetViews>
    <sheetView zoomScaleNormal="100" workbookViewId="0">
      <pane xSplit="1" ySplit="4" topLeftCell="B90" activePane="bottomRight" state="frozen"/>
      <selection pane="topRight" activeCell="B1" sqref="B1"/>
      <selection pane="bottomLeft" activeCell="A5" sqref="A5"/>
      <selection pane="bottomRight" activeCell="D22" sqref="D22"/>
    </sheetView>
  </sheetViews>
  <sheetFormatPr defaultColWidth="8.6640625" defaultRowHeight="14.4" x14ac:dyDescent="0.3"/>
  <cols>
    <col min="1" max="1" width="62" customWidth="1"/>
    <col min="2" max="14" width="15" customWidth="1"/>
    <col min="15" max="15" width="14" customWidth="1"/>
  </cols>
  <sheetData>
    <row r="1" spans="1:15" ht="17.399999999999999" x14ac:dyDescent="0.3">
      <c r="A1" s="13" t="s">
        <v>683</v>
      </c>
    </row>
    <row r="2" spans="1:15" x14ac:dyDescent="0.3">
      <c r="A2" s="14" t="s">
        <v>684</v>
      </c>
    </row>
    <row r="4" spans="1:15" ht="45" customHeight="1" x14ac:dyDescent="0.3">
      <c r="A4" s="20" t="s">
        <v>564</v>
      </c>
      <c r="B4" s="21" t="s">
        <v>18</v>
      </c>
      <c r="C4" s="21" t="s">
        <v>685</v>
      </c>
      <c r="D4" s="21" t="s">
        <v>686</v>
      </c>
      <c r="E4" s="21" t="s">
        <v>687</v>
      </c>
      <c r="F4" s="21" t="s">
        <v>688</v>
      </c>
      <c r="G4" s="21" t="s">
        <v>689</v>
      </c>
      <c r="H4" s="21" t="s">
        <v>690</v>
      </c>
      <c r="I4" s="21" t="s">
        <v>691</v>
      </c>
      <c r="J4" s="21" t="s">
        <v>692</v>
      </c>
      <c r="K4" s="21" t="s">
        <v>693</v>
      </c>
      <c r="L4" s="21" t="s">
        <v>694</v>
      </c>
      <c r="M4" s="21" t="s">
        <v>695</v>
      </c>
      <c r="N4" s="21" t="s">
        <v>696</v>
      </c>
      <c r="O4" s="21" t="s">
        <v>697</v>
      </c>
    </row>
    <row r="5" spans="1:15" x14ac:dyDescent="0.3">
      <c r="A5" s="40" t="s">
        <v>698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x14ac:dyDescent="0.3">
      <c r="A6" s="19" t="s">
        <v>699</v>
      </c>
      <c r="B6" s="66">
        <f>Assumptions!$B$105</f>
        <v>2</v>
      </c>
      <c r="C6" s="66">
        <f>Pools_Scenarios!$C$93</f>
        <v>1.5</v>
      </c>
      <c r="D6" s="66">
        <f>Assumptions!$B$105</f>
        <v>2</v>
      </c>
      <c r="E6" s="66">
        <f>Assumptions!$B$105</f>
        <v>2</v>
      </c>
      <c r="F6" s="66">
        <f>Assumptions!$B$105</f>
        <v>2</v>
      </c>
      <c r="G6" s="66">
        <f>Assumptions!$B$105</f>
        <v>2</v>
      </c>
      <c r="H6" s="66">
        <f>Assumptions!$B$105</f>
        <v>2</v>
      </c>
      <c r="I6" s="66">
        <f>Pools_Scenarios!$C$93</f>
        <v>1.5</v>
      </c>
      <c r="J6" s="66">
        <f>Assumptions!$B$105</f>
        <v>2</v>
      </c>
      <c r="K6" s="66">
        <f>Assumptions!$B$105</f>
        <v>2</v>
      </c>
      <c r="L6" s="66">
        <f>Assumptions!$B$105</f>
        <v>2</v>
      </c>
      <c r="M6" s="66">
        <f>1</f>
        <v>1</v>
      </c>
      <c r="N6" s="66">
        <f>Pools_Scenarios!$C$93</f>
        <v>1.5</v>
      </c>
      <c r="O6" s="73" t="s">
        <v>700</v>
      </c>
    </row>
    <row r="7" spans="1:15" x14ac:dyDescent="0.3">
      <c r="A7" s="19" t="s">
        <v>701</v>
      </c>
      <c r="B7" s="54">
        <f>Assumptions!$B$106</f>
        <v>30</v>
      </c>
      <c r="C7" s="54">
        <f>Pools_Scenarios!$C$94</f>
        <v>20</v>
      </c>
      <c r="D7" s="54">
        <f>Assumptions!$B$106</f>
        <v>30</v>
      </c>
      <c r="E7" s="54">
        <f>Assumptions!$B$106</f>
        <v>30</v>
      </c>
      <c r="F7" s="54">
        <f>Assumptions!$B$106</f>
        <v>30</v>
      </c>
      <c r="G7" s="54">
        <f>Assumptions!$B$106</f>
        <v>30</v>
      </c>
      <c r="H7" s="54">
        <f>Assumptions!$B$106</f>
        <v>30</v>
      </c>
      <c r="I7" s="54">
        <f>Pools_Scenarios!$C$94</f>
        <v>20</v>
      </c>
      <c r="J7" s="54">
        <f>Assumptions!$B$106</f>
        <v>30</v>
      </c>
      <c r="K7" s="54">
        <f>Assumptions!$B$106</f>
        <v>30</v>
      </c>
      <c r="L7" s="54">
        <f>Assumptions!$B$106</f>
        <v>30</v>
      </c>
      <c r="M7" s="54">
        <f>20</f>
        <v>20</v>
      </c>
      <c r="N7" s="54">
        <f>Pools_Scenarios!$C$94</f>
        <v>20</v>
      </c>
      <c r="O7" s="73" t="s">
        <v>622</v>
      </c>
    </row>
    <row r="8" spans="1:15" x14ac:dyDescent="0.3">
      <c r="A8" s="19" t="s">
        <v>702</v>
      </c>
      <c r="B8" s="51">
        <f>0</f>
        <v>0</v>
      </c>
      <c r="C8" s="51">
        <f>Pools_Scenarios!$C$97</f>
        <v>0.1</v>
      </c>
      <c r="D8" s="51">
        <f>0</f>
        <v>0</v>
      </c>
      <c r="E8" s="51">
        <f>0</f>
        <v>0</v>
      </c>
      <c r="F8" s="51">
        <f>Pools_Scenarios!$C$97</f>
        <v>0.1</v>
      </c>
      <c r="G8" s="51">
        <f>0</f>
        <v>0</v>
      </c>
      <c r="H8" s="51">
        <f>0</f>
        <v>0</v>
      </c>
      <c r="I8" s="51">
        <f>0</f>
        <v>0</v>
      </c>
      <c r="J8" s="51">
        <f>0</f>
        <v>0</v>
      </c>
      <c r="K8" s="51">
        <f>0</f>
        <v>0</v>
      </c>
      <c r="L8" s="51">
        <f>0</f>
        <v>0</v>
      </c>
      <c r="M8" s="51">
        <f>Pools_Scenarios!$C$97</f>
        <v>0.1</v>
      </c>
      <c r="N8" s="51">
        <f>Pools_Scenarios!$C$97</f>
        <v>0.1</v>
      </c>
      <c r="O8" s="73" t="s">
        <v>703</v>
      </c>
    </row>
    <row r="9" spans="1:15" x14ac:dyDescent="0.3">
      <c r="A9" s="26" t="s">
        <v>291</v>
      </c>
      <c r="B9" s="78">
        <f t="shared" ref="B9:N9" si="0">B6*B7*(1-B8)</f>
        <v>60</v>
      </c>
      <c r="C9" s="78">
        <f t="shared" si="0"/>
        <v>27</v>
      </c>
      <c r="D9" s="78">
        <f t="shared" si="0"/>
        <v>60</v>
      </c>
      <c r="E9" s="78">
        <f t="shared" si="0"/>
        <v>60</v>
      </c>
      <c r="F9" s="78">
        <f t="shared" si="0"/>
        <v>54</v>
      </c>
      <c r="G9" s="78">
        <f t="shared" si="0"/>
        <v>60</v>
      </c>
      <c r="H9" s="78">
        <f t="shared" si="0"/>
        <v>60</v>
      </c>
      <c r="I9" s="78">
        <f t="shared" si="0"/>
        <v>30</v>
      </c>
      <c r="J9" s="78">
        <f t="shared" si="0"/>
        <v>60</v>
      </c>
      <c r="K9" s="78">
        <f t="shared" si="0"/>
        <v>60</v>
      </c>
      <c r="L9" s="78">
        <f t="shared" si="0"/>
        <v>60</v>
      </c>
      <c r="M9" s="78">
        <f t="shared" si="0"/>
        <v>18</v>
      </c>
      <c r="N9" s="78">
        <f t="shared" si="0"/>
        <v>27</v>
      </c>
      <c r="O9" s="73" t="s">
        <v>292</v>
      </c>
    </row>
    <row r="10" spans="1:15" x14ac:dyDescent="0.3">
      <c r="A10" s="19" t="s">
        <v>704</v>
      </c>
      <c r="B10" s="51">
        <f>1-0</f>
        <v>1</v>
      </c>
      <c r="C10" s="51">
        <f>1-Pools_Scenarios!$C$89</f>
        <v>0.8</v>
      </c>
      <c r="D10" s="51">
        <f>1-0</f>
        <v>1</v>
      </c>
      <c r="E10" s="51">
        <f>1-0</f>
        <v>1</v>
      </c>
      <c r="F10" s="51">
        <f>1-0</f>
        <v>1</v>
      </c>
      <c r="G10" s="51">
        <f>1-Pools_Scenarios!$C$89</f>
        <v>0.8</v>
      </c>
      <c r="H10" s="51">
        <f t="shared" ref="H10:M10" si="1">1-0</f>
        <v>1</v>
      </c>
      <c r="I10" s="51">
        <f t="shared" si="1"/>
        <v>1</v>
      </c>
      <c r="J10" s="51">
        <f t="shared" si="1"/>
        <v>1</v>
      </c>
      <c r="K10" s="51">
        <f t="shared" si="1"/>
        <v>1</v>
      </c>
      <c r="L10" s="51">
        <f t="shared" si="1"/>
        <v>1</v>
      </c>
      <c r="M10" s="51">
        <f t="shared" si="1"/>
        <v>1</v>
      </c>
      <c r="N10" s="51">
        <f>1-Pools_Scenarios!$C$89</f>
        <v>0.8</v>
      </c>
      <c r="O10" s="73"/>
    </row>
    <row r="11" spans="1:15" x14ac:dyDescent="0.3">
      <c r="A11" s="19" t="s">
        <v>705</v>
      </c>
      <c r="B11" s="79">
        <f>IF(0=1,1,(Assumptions!$B$32*(1-Assumptions!$B$120)+Assumptions!$B$119*Assumptions!$B$120)*B10)</f>
        <v>1.4899999999999998</v>
      </c>
      <c r="C11" s="79">
        <f>IF(0=1,1,(Assumptions!$B$32*(1-Assumptions!$B$120)+Assumptions!$B$119*Assumptions!$B$120)*C10)</f>
        <v>1.1919999999999999</v>
      </c>
      <c r="D11" s="79">
        <f>IF(0=1,1,(Assumptions!$B$32*(1-Assumptions!$B$120)+Assumptions!$B$119*Assumptions!$B$120)*D10)</f>
        <v>1.4899999999999998</v>
      </c>
      <c r="E11" s="79">
        <f>IF(0=1,1,(Assumptions!$B$32*(1-Assumptions!$B$120)+Assumptions!$B$119*Assumptions!$B$120)*E10)</f>
        <v>1.4899999999999998</v>
      </c>
      <c r="F11" s="79">
        <f>IF(0=1,1,(Assumptions!$B$32*(1-Assumptions!$B$120)+Assumptions!$B$119*Assumptions!$B$120)*F10)</f>
        <v>1.4899999999999998</v>
      </c>
      <c r="G11" s="79">
        <f>IF(0=1,1,(Assumptions!$B$32*(1-Assumptions!$B$120)+Assumptions!$B$119*Assumptions!$B$120)*G10)</f>
        <v>1.1919999999999999</v>
      </c>
      <c r="H11" s="79">
        <f>IF(0=1,1,(Assumptions!$B$32*(1-Assumptions!$B$120)+Assumptions!$B$119*Assumptions!$B$120)*H10)</f>
        <v>1.4899999999999998</v>
      </c>
      <c r="I11" s="79">
        <f>IF(0=1,1,(Assumptions!$B$32*(1-Assumptions!$B$120)+Assumptions!$B$119*Assumptions!$B$120)*I10)</f>
        <v>1.4899999999999998</v>
      </c>
      <c r="J11" s="79">
        <f>IF(0=1,1,(Assumptions!$B$32*(1-Assumptions!$B$120)+Assumptions!$B$119*Assumptions!$B$120)*J10)</f>
        <v>1.4899999999999998</v>
      </c>
      <c r="K11" s="79">
        <f>IF(0=1,1,(Assumptions!$B$32*(1-Assumptions!$B$120)+Assumptions!$B$119*Assumptions!$B$120)*K10)</f>
        <v>1.4899999999999998</v>
      </c>
      <c r="L11" s="79">
        <f>IF(0=1,1,(Assumptions!$B$32*(1-Assumptions!$B$120)+Assumptions!$B$119*Assumptions!$B$120)*L10)</f>
        <v>1.4899999999999998</v>
      </c>
      <c r="M11" s="79">
        <f>IF(1=1,1,(Assumptions!$B$32*(1-Assumptions!$B$120)+Assumptions!$B$119*Assumptions!$B$120)*M10)</f>
        <v>1</v>
      </c>
      <c r="N11" s="79">
        <f>IF(0=1,1,(Assumptions!$B$32*(1-Assumptions!$B$120)+Assumptions!$B$119*Assumptions!$B$120)*N10)</f>
        <v>1.1919999999999999</v>
      </c>
      <c r="O11" s="73" t="s">
        <v>239</v>
      </c>
    </row>
    <row r="12" spans="1:15" x14ac:dyDescent="0.3">
      <c r="A12" s="19" t="s">
        <v>706</v>
      </c>
      <c r="B12" s="79">
        <f>IF(0=1,1,(Assumptions!$B$118*(1-Assumptions!$B$122)+Assumptions!$B$121*Assumptions!$B$122)*B10)</f>
        <v>0.95</v>
      </c>
      <c r="C12" s="79">
        <f>IF(0=1,1,(Assumptions!$B$118*(1-Assumptions!$B$122)+Assumptions!$B$121*Assumptions!$B$122)*C10)</f>
        <v>0.76</v>
      </c>
      <c r="D12" s="79">
        <f>IF(0=1,1,(Assumptions!$B$118*(1-Assumptions!$B$122)+Assumptions!$B$121*Assumptions!$B$122)*D10)</f>
        <v>0.95</v>
      </c>
      <c r="E12" s="79">
        <f>IF(0=1,1,(Assumptions!$B$118*(1-Assumptions!$B$122)+Assumptions!$B$121*Assumptions!$B$122)*E10)</f>
        <v>0.95</v>
      </c>
      <c r="F12" s="79">
        <f>IF(0=1,1,(Assumptions!$B$118*(1-Assumptions!$B$122)+Assumptions!$B$121*Assumptions!$B$122)*F10)</f>
        <v>0.95</v>
      </c>
      <c r="G12" s="79">
        <f>IF(0=1,1,(Assumptions!$B$118*(1-Assumptions!$B$122)+Assumptions!$B$121*Assumptions!$B$122)*G10)</f>
        <v>0.76</v>
      </c>
      <c r="H12" s="79">
        <f>IF(0=1,1,(Assumptions!$B$118*(1-Assumptions!$B$122)+Assumptions!$B$121*Assumptions!$B$122)*H10)</f>
        <v>0.95</v>
      </c>
      <c r="I12" s="79">
        <f>IF(0=1,1,(Assumptions!$B$118*(1-Assumptions!$B$122)+Assumptions!$B$121*Assumptions!$B$122)*I10)</f>
        <v>0.95</v>
      </c>
      <c r="J12" s="79">
        <f>IF(0=1,1,(Assumptions!$B$118*(1-Assumptions!$B$122)+Assumptions!$B$121*Assumptions!$B$122)*J10)</f>
        <v>0.95</v>
      </c>
      <c r="K12" s="79">
        <f>IF(0=1,1,(Assumptions!$B$118*(1-Assumptions!$B$122)+Assumptions!$B$121*Assumptions!$B$122)*K10)</f>
        <v>0.95</v>
      </c>
      <c r="L12" s="79">
        <f>IF(0=1,1,(Assumptions!$B$118*(1-Assumptions!$B$122)+Assumptions!$B$121*Assumptions!$B$122)*L10)</f>
        <v>0.95</v>
      </c>
      <c r="M12" s="79">
        <f>IF(1=1,1,(Assumptions!$B$118*(1-Assumptions!$B$122)+Assumptions!$B$121*Assumptions!$B$122)*M10)</f>
        <v>1</v>
      </c>
      <c r="N12" s="79">
        <f>IF(0=1,1,(Assumptions!$B$118*(1-Assumptions!$B$122)+Assumptions!$B$121*Assumptions!$B$122)*N10)</f>
        <v>0.76</v>
      </c>
      <c r="O12" s="73" t="s">
        <v>239</v>
      </c>
    </row>
    <row r="13" spans="1:15" x14ac:dyDescent="0.3">
      <c r="A13" s="19" t="s">
        <v>707</v>
      </c>
      <c r="B13" s="80">
        <f>Assumptions!$B$102*(1+0)</f>
        <v>0.50679999999999992</v>
      </c>
      <c r="C13" s="80">
        <f>Assumptions!$B$102*(1+Pools_Scenarios!$C$95)</f>
        <v>0.60815999999999992</v>
      </c>
      <c r="D13" s="80">
        <f>Assumptions!$B$102*(1+Pools_Scenarios!$C$95)</f>
        <v>0.60815999999999992</v>
      </c>
      <c r="E13" s="80">
        <f>Assumptions!$B$102*(1+0)</f>
        <v>0.50679999999999992</v>
      </c>
      <c r="F13" s="80">
        <f>Assumptions!$B$102*(1+0)</f>
        <v>0.50679999999999992</v>
      </c>
      <c r="G13" s="80">
        <f>Assumptions!$B$102*(1+0)</f>
        <v>0.50679999999999992</v>
      </c>
      <c r="H13" s="80">
        <f>Assumptions!$B$102*(1+0)</f>
        <v>0.50679999999999992</v>
      </c>
      <c r="I13" s="80">
        <f>Assumptions!$B$102*(1+0)</f>
        <v>0.50679999999999992</v>
      </c>
      <c r="J13" s="80">
        <f>Assumptions!$B$102*(1+0)</f>
        <v>0.50679999999999992</v>
      </c>
      <c r="K13" s="80">
        <f>Assumptions!$B$102*(1+0)</f>
        <v>0.50679999999999992</v>
      </c>
      <c r="L13" s="80">
        <f>Assumptions!$B$102*(1+0)</f>
        <v>0.50679999999999992</v>
      </c>
      <c r="M13" s="80">
        <f>Assumptions!$B$102*(1+0.3)</f>
        <v>0.65883999999999987</v>
      </c>
      <c r="N13" s="80">
        <f>Assumptions!$B$102*(1+Pools_Scenarios!$C$95)</f>
        <v>0.60815999999999992</v>
      </c>
      <c r="O13" s="73" t="s">
        <v>239</v>
      </c>
    </row>
    <row r="14" spans="1:15" x14ac:dyDescent="0.3">
      <c r="A14" s="19" t="s">
        <v>429</v>
      </c>
      <c r="B14" s="80">
        <f>Assumptions!$B$103*(1+0)</f>
        <v>8.8300000000000003E-2</v>
      </c>
      <c r="C14" s="80">
        <f>Assumptions!$B$103*(1+Pools_Scenarios!$C$95)</f>
        <v>0.10596</v>
      </c>
      <c r="D14" s="80">
        <f>Assumptions!$B$103*(1+Pools_Scenarios!$C$95)</f>
        <v>0.10596</v>
      </c>
      <c r="E14" s="80">
        <f>Assumptions!$B$103*(1+0)</f>
        <v>8.8300000000000003E-2</v>
      </c>
      <c r="F14" s="80">
        <f>Assumptions!$B$103*(1+0)</f>
        <v>8.8300000000000003E-2</v>
      </c>
      <c r="G14" s="80">
        <f>Assumptions!$B$103*(1+0)</f>
        <v>8.8300000000000003E-2</v>
      </c>
      <c r="H14" s="80">
        <f>Assumptions!$B$103*(1+0)</f>
        <v>8.8300000000000003E-2</v>
      </c>
      <c r="I14" s="80">
        <f>Assumptions!$B$103*(1+0)</f>
        <v>8.8300000000000003E-2</v>
      </c>
      <c r="J14" s="80">
        <f>Assumptions!$B$103*(1+0)</f>
        <v>8.8300000000000003E-2</v>
      </c>
      <c r="K14" s="80">
        <f>Assumptions!$B$103*(1+0)</f>
        <v>8.8300000000000003E-2</v>
      </c>
      <c r="L14" s="80">
        <f>Assumptions!$B$103*(1+0)</f>
        <v>8.8300000000000003E-2</v>
      </c>
      <c r="M14" s="80">
        <f>Assumptions!$B$103*(1+0.3)</f>
        <v>0.11479</v>
      </c>
      <c r="N14" s="80">
        <f>Assumptions!$B$103*(1+Pools_Scenarios!$C$95)</f>
        <v>0.10596</v>
      </c>
      <c r="O14" s="73" t="s">
        <v>239</v>
      </c>
    </row>
    <row r="15" spans="1:15" x14ac:dyDescent="0.3">
      <c r="A15" s="19" t="s">
        <v>708</v>
      </c>
      <c r="B15" s="79">
        <f>0*Assumptions!$B$141</f>
        <v>0</v>
      </c>
      <c r="C15" s="79">
        <f>0*Assumptions!$B$141</f>
        <v>0</v>
      </c>
      <c r="D15" s="79">
        <f>0*Assumptions!$B$141</f>
        <v>0</v>
      </c>
      <c r="E15" s="79">
        <f>0*Assumptions!$B$141</f>
        <v>0</v>
      </c>
      <c r="F15" s="79">
        <f>0*Assumptions!$B$141</f>
        <v>0</v>
      </c>
      <c r="G15" s="79">
        <f>0*Assumptions!$B$141</f>
        <v>0</v>
      </c>
      <c r="H15" s="79">
        <f>0*Assumptions!$B$141</f>
        <v>0</v>
      </c>
      <c r="I15" s="79">
        <f>0*Assumptions!$B$141</f>
        <v>0</v>
      </c>
      <c r="J15" s="79">
        <f>0*Assumptions!$B$141</f>
        <v>0</v>
      </c>
      <c r="K15" s="79">
        <f>1*Assumptions!$B$141</f>
        <v>89.27</v>
      </c>
      <c r="L15" s="79">
        <f>0*Assumptions!$B$141</f>
        <v>0</v>
      </c>
      <c r="M15" s="79">
        <f>0*Assumptions!$B$141</f>
        <v>0</v>
      </c>
      <c r="N15" s="79">
        <f>0*Assumptions!$B$141</f>
        <v>0</v>
      </c>
      <c r="O15" s="73" t="s">
        <v>513</v>
      </c>
    </row>
    <row r="16" spans="1:15" x14ac:dyDescent="0.3">
      <c r="A16" s="40" t="s">
        <v>709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 x14ac:dyDescent="0.3">
      <c r="A17" s="19" t="s">
        <v>710</v>
      </c>
      <c r="B17" s="54">
        <f>Assumptions!$B$116</f>
        <v>100000</v>
      </c>
      <c r="C17" s="54">
        <f>Assumptions!$B$116</f>
        <v>100000</v>
      </c>
      <c r="D17" s="54">
        <f>Assumptions!$B$116</f>
        <v>100000</v>
      </c>
      <c r="E17" s="54">
        <f>Assumptions!$B$116</f>
        <v>100000</v>
      </c>
      <c r="F17" s="54">
        <f>Assumptions!$B$116</f>
        <v>100000</v>
      </c>
      <c r="G17" s="54">
        <f>Assumptions!$B$116</f>
        <v>100000</v>
      </c>
      <c r="H17" s="54">
        <f>Assumptions!$B$116</f>
        <v>100000</v>
      </c>
      <c r="I17" s="54">
        <f>Assumptions!$B$116</f>
        <v>100000</v>
      </c>
      <c r="J17" s="54">
        <f>Assumptions!$B$116</f>
        <v>100000</v>
      </c>
      <c r="K17" s="54">
        <f>Assumptions!$B$116</f>
        <v>100000</v>
      </c>
      <c r="L17" s="54">
        <f>Assumptions!$B$116</f>
        <v>100000</v>
      </c>
      <c r="M17" s="54">
        <f>Assumptions!$B$116</f>
        <v>100000</v>
      </c>
      <c r="N17" s="54">
        <f>Assumptions!$B$116</f>
        <v>100000</v>
      </c>
      <c r="O17" s="73" t="s">
        <v>228</v>
      </c>
    </row>
    <row r="18" spans="1:15" x14ac:dyDescent="0.3">
      <c r="A18" s="19" t="s">
        <v>711</v>
      </c>
      <c r="B18" s="54">
        <f>MIN(Assumptions!$B$116*Assumptions!$B$104,Assumptions!$B$129)*1</f>
        <v>50000</v>
      </c>
      <c r="C18" s="54">
        <f>MIN(Assumptions!$B$116*Assumptions!$B$104,Assumptions!$B$129)*Pools_Scenarios!$C$98</f>
        <v>0</v>
      </c>
      <c r="D18" s="54">
        <f>MIN(Assumptions!$B$116*Assumptions!$B$104,Assumptions!$B$129)*1</f>
        <v>50000</v>
      </c>
      <c r="E18" s="54">
        <f>MIN(Assumptions!$B$116*Assumptions!$B$104,Assumptions!$B$129)*1</f>
        <v>50000</v>
      </c>
      <c r="F18" s="54">
        <f>MIN(Assumptions!$B$116*Assumptions!$B$104,Assumptions!$B$129)*1</f>
        <v>50000</v>
      </c>
      <c r="G18" s="54">
        <f>MIN(Assumptions!$B$116*Assumptions!$B$104,Assumptions!$B$129)*1</f>
        <v>50000</v>
      </c>
      <c r="H18" s="54">
        <f>MIN(Assumptions!$B$116*Assumptions!$B$104,Assumptions!$B$129)*Pools_Scenarios!$C$98</f>
        <v>0</v>
      </c>
      <c r="I18" s="54">
        <f>MIN(Assumptions!$B$116*Assumptions!$B$104,Assumptions!$B$129)*1</f>
        <v>50000</v>
      </c>
      <c r="J18" s="54">
        <f>MIN(Assumptions!$B$116*Assumptions!$B$104,Assumptions!$B$129)*1</f>
        <v>50000</v>
      </c>
      <c r="K18" s="54">
        <f>MIN(Assumptions!$B$116*Assumptions!$B$104,Assumptions!$B$129)*1</f>
        <v>50000</v>
      </c>
      <c r="L18" s="54">
        <f>MIN(Assumptions!$B$116*Assumptions!$B$104,Assumptions!$B$129)*1</f>
        <v>50000</v>
      </c>
      <c r="M18" s="54">
        <f>MIN(Assumptions!$B$116*Assumptions!$B$104,Assumptions!$B$129)*0</f>
        <v>0</v>
      </c>
      <c r="N18" s="54">
        <f>MIN(Assumptions!$B$116*Assumptions!$B$104,Assumptions!$B$129)*Pools_Scenarios!$C$98</f>
        <v>0</v>
      </c>
      <c r="O18" s="73" t="s">
        <v>228</v>
      </c>
    </row>
    <row r="19" spans="1:15" x14ac:dyDescent="0.3">
      <c r="A19" s="19" t="s">
        <v>712</v>
      </c>
      <c r="B19" s="54">
        <f>Assumptions!$B$107/Assumptions!$B$128</f>
        <v>7500</v>
      </c>
      <c r="C19" s="54">
        <f>Assumptions!$B$107/Assumptions!$B$128</f>
        <v>7500</v>
      </c>
      <c r="D19" s="54">
        <f>Assumptions!$B$107/Assumptions!$B$128</f>
        <v>7500</v>
      </c>
      <c r="E19" s="54">
        <f>Assumptions!$B$107/Assumptions!$B$128</f>
        <v>7500</v>
      </c>
      <c r="F19" s="54">
        <f>Assumptions!$B$107/Assumptions!$B$128</f>
        <v>7500</v>
      </c>
      <c r="G19" s="54">
        <f>Assumptions!$B$107/Assumptions!$B$128</f>
        <v>7500</v>
      </c>
      <c r="H19" s="54">
        <f>Assumptions!$B$107/Assumptions!$B$128</f>
        <v>7500</v>
      </c>
      <c r="I19" s="54">
        <f>Assumptions!$B$107/Assumptions!$B$128</f>
        <v>7500</v>
      </c>
      <c r="J19" s="54">
        <f>Assumptions!$B$107/Assumptions!$B$128</f>
        <v>7500</v>
      </c>
      <c r="K19" s="54">
        <f>Assumptions!$B$107/Assumptions!$B$128</f>
        <v>7500</v>
      </c>
      <c r="L19" s="54">
        <f>Assumptions!$B$107/Assumptions!$B$128</f>
        <v>7500</v>
      </c>
      <c r="M19" s="54">
        <f>Assumptions!$B$107/Assumptions!$B$128</f>
        <v>7500</v>
      </c>
      <c r="N19" s="54">
        <f>Assumptions!$B$107/Assumptions!$B$128</f>
        <v>7500</v>
      </c>
      <c r="O19" s="73" t="s">
        <v>228</v>
      </c>
    </row>
    <row r="20" spans="1:15" x14ac:dyDescent="0.3">
      <c r="A20" s="26" t="s">
        <v>713</v>
      </c>
      <c r="B20" s="68">
        <f t="shared" ref="B20:N20" si="2">B17-B18+B19</f>
        <v>57500</v>
      </c>
      <c r="C20" s="68">
        <f t="shared" si="2"/>
        <v>107500</v>
      </c>
      <c r="D20" s="68">
        <f t="shared" si="2"/>
        <v>57500</v>
      </c>
      <c r="E20" s="68">
        <f t="shared" si="2"/>
        <v>57500</v>
      </c>
      <c r="F20" s="68">
        <f t="shared" si="2"/>
        <v>57500</v>
      </c>
      <c r="G20" s="68">
        <f t="shared" si="2"/>
        <v>57500</v>
      </c>
      <c r="H20" s="68">
        <f t="shared" si="2"/>
        <v>107500</v>
      </c>
      <c r="I20" s="68">
        <f t="shared" si="2"/>
        <v>57500</v>
      </c>
      <c r="J20" s="68">
        <f t="shared" si="2"/>
        <v>57500</v>
      </c>
      <c r="K20" s="68">
        <f t="shared" si="2"/>
        <v>57500</v>
      </c>
      <c r="L20" s="68">
        <f t="shared" si="2"/>
        <v>57500</v>
      </c>
      <c r="M20" s="68">
        <f t="shared" si="2"/>
        <v>107500</v>
      </c>
      <c r="N20" s="68">
        <f t="shared" si="2"/>
        <v>107500</v>
      </c>
      <c r="O20" s="73" t="s">
        <v>228</v>
      </c>
    </row>
    <row r="21" spans="1:15" x14ac:dyDescent="0.3">
      <c r="A21" s="19" t="s">
        <v>714</v>
      </c>
      <c r="B21" s="54">
        <f t="shared" ref="B21:N21" si="3">365*B9*B11</f>
        <v>32630.999999999996</v>
      </c>
      <c r="C21" s="54">
        <f t="shared" si="3"/>
        <v>11747.16</v>
      </c>
      <c r="D21" s="54">
        <f t="shared" si="3"/>
        <v>32630.999999999996</v>
      </c>
      <c r="E21" s="54">
        <f t="shared" si="3"/>
        <v>32630.999999999996</v>
      </c>
      <c r="F21" s="54">
        <f t="shared" si="3"/>
        <v>29367.899999999994</v>
      </c>
      <c r="G21" s="54">
        <f t="shared" si="3"/>
        <v>26104.799999999999</v>
      </c>
      <c r="H21" s="54">
        <f t="shared" si="3"/>
        <v>32630.999999999996</v>
      </c>
      <c r="I21" s="54">
        <f t="shared" si="3"/>
        <v>16315.499999999998</v>
      </c>
      <c r="J21" s="54">
        <f t="shared" si="3"/>
        <v>32630.999999999996</v>
      </c>
      <c r="K21" s="54">
        <f t="shared" si="3"/>
        <v>32630.999999999996</v>
      </c>
      <c r="L21" s="54">
        <f t="shared" si="3"/>
        <v>32630.999999999996</v>
      </c>
      <c r="M21" s="54">
        <f t="shared" si="3"/>
        <v>6570</v>
      </c>
      <c r="N21" s="54">
        <f t="shared" si="3"/>
        <v>11747.16</v>
      </c>
      <c r="O21" s="73" t="s">
        <v>245</v>
      </c>
    </row>
    <row r="22" spans="1:15" x14ac:dyDescent="0.3">
      <c r="A22" s="19" t="s">
        <v>715</v>
      </c>
      <c r="B22" s="54">
        <f>365*Assumptions!$B$124*Assumptions!$B$123*(1-B8)</f>
        <v>1460</v>
      </c>
      <c r="C22" s="54">
        <f>365*Pools_Scenarios!$C$99*Assumptions!$B$123*(1-C8)</f>
        <v>657</v>
      </c>
      <c r="D22" s="54">
        <f>365*Assumptions!$B$124*Assumptions!$B$123*(1-D8)</f>
        <v>1460</v>
      </c>
      <c r="E22" s="54">
        <f>365*Assumptions!$B$124*Assumptions!$B$123*(1-E8)</f>
        <v>1460</v>
      </c>
      <c r="F22" s="54">
        <f>365*Assumptions!$B$124*Assumptions!$B$123*(1-F8)</f>
        <v>1314</v>
      </c>
      <c r="G22" s="54">
        <f>365*Assumptions!$B$124*Assumptions!$B$123*(1-G8)</f>
        <v>1460</v>
      </c>
      <c r="H22" s="54">
        <f>365*Assumptions!$B$124*Assumptions!$B$123*(1-H8)</f>
        <v>1460</v>
      </c>
      <c r="I22" s="54">
        <f>365*Assumptions!$B$124*Assumptions!$B$123*(1-I8)</f>
        <v>1460</v>
      </c>
      <c r="J22" s="54">
        <f>365*0*Assumptions!$B$123*(1-J8)</f>
        <v>0</v>
      </c>
      <c r="K22" s="54">
        <f>365*Assumptions!$B$124*Assumptions!$B$123*(1-K8)</f>
        <v>1460</v>
      </c>
      <c r="L22" s="54">
        <f>365*Assumptions!$B$124*Assumptions!$B$123*(1-L8)</f>
        <v>1460</v>
      </c>
      <c r="M22" s="54">
        <f>365*0*Assumptions!$B$123*(1-M8)</f>
        <v>0</v>
      </c>
      <c r="N22" s="54">
        <f>365*Pools_Scenarios!$C$99*Assumptions!$B$123*(1-N8)</f>
        <v>657</v>
      </c>
      <c r="O22" s="73" t="s">
        <v>245</v>
      </c>
    </row>
    <row r="23" spans="1:15" x14ac:dyDescent="0.3">
      <c r="A23" s="19" t="s">
        <v>716</v>
      </c>
      <c r="B23" s="54">
        <f>Assumptions!$B$126*Assumptions!$B$125*12</f>
        <v>1800</v>
      </c>
      <c r="C23" s="54">
        <f>Pools_Scenarios!$C$100*Assumptions!$B$125*12</f>
        <v>900</v>
      </c>
      <c r="D23" s="54">
        <f>Assumptions!$B$126*Assumptions!$B$125*12</f>
        <v>1800</v>
      </c>
      <c r="E23" s="54">
        <f>Assumptions!$B$126*Assumptions!$B$125*12</f>
        <v>1800</v>
      </c>
      <c r="F23" s="54">
        <f>Assumptions!$B$126*Assumptions!$B$125*12</f>
        <v>1800</v>
      </c>
      <c r="G23" s="54">
        <f>Assumptions!$B$126*Assumptions!$B$125*12</f>
        <v>1800</v>
      </c>
      <c r="H23" s="54">
        <f>Assumptions!$B$126*Assumptions!$B$125*12</f>
        <v>1800</v>
      </c>
      <c r="I23" s="54">
        <f>Assumptions!$B$126*Assumptions!$B$125*12</f>
        <v>1800</v>
      </c>
      <c r="J23" s="54">
        <f>0*Assumptions!$B$125*12</f>
        <v>0</v>
      </c>
      <c r="K23" s="54">
        <f>Assumptions!$B$126*Assumptions!$B$125*12</f>
        <v>1800</v>
      </c>
      <c r="L23" s="54">
        <f>Assumptions!$B$126*Assumptions!$B$125*12</f>
        <v>1800</v>
      </c>
      <c r="M23" s="54">
        <f>0*Assumptions!$B$125*12</f>
        <v>0</v>
      </c>
      <c r="N23" s="54">
        <f>Pools_Scenarios!$C$100*Assumptions!$B$125*12</f>
        <v>900</v>
      </c>
      <c r="O23" s="73" t="s">
        <v>245</v>
      </c>
    </row>
    <row r="24" spans="1:15" x14ac:dyDescent="0.3">
      <c r="A24" s="19" t="s">
        <v>286</v>
      </c>
      <c r="B24" s="54">
        <f>-Assumptions!$B$33*(B21+B22+B23)</f>
        <v>-1076.73</v>
      </c>
      <c r="C24" s="54">
        <f>-Assumptions!$B$33*(C21+C22+C23)</f>
        <v>-399.12479999999999</v>
      </c>
      <c r="D24" s="54">
        <f>-Assumptions!$B$33*(D21+D22+D23)</f>
        <v>-1076.73</v>
      </c>
      <c r="E24" s="54">
        <f>-Assumptions!$B$33*(E21+E22+E23)</f>
        <v>-1076.73</v>
      </c>
      <c r="F24" s="54">
        <f>-Assumptions!$B$33*(F21+F22+F23)</f>
        <v>-974.45699999999977</v>
      </c>
      <c r="G24" s="54">
        <f>-Assumptions!$B$33*(G21+G22+G23)</f>
        <v>-880.94399999999996</v>
      </c>
      <c r="H24" s="54">
        <f>-Assumptions!$B$33*(H21+H22+H23)</f>
        <v>-1076.73</v>
      </c>
      <c r="I24" s="54">
        <f>-Assumptions!$B$33*(I21+I22+I23)</f>
        <v>-587.26499999999999</v>
      </c>
      <c r="J24" s="54">
        <f>-Assumptions!$B$33*(J21+J22+J23)</f>
        <v>-978.92999999999984</v>
      </c>
      <c r="K24" s="54">
        <f>-Assumptions!$B$33*(K21+K22+K23)</f>
        <v>-1076.73</v>
      </c>
      <c r="L24" s="54">
        <f>-Assumptions!$B$33*(L21+L22+L23)</f>
        <v>-1076.73</v>
      </c>
      <c r="M24" s="54">
        <f>-Assumptions!$B$33*(M21+M22+M23)</f>
        <v>-197.1</v>
      </c>
      <c r="N24" s="54">
        <f>-Assumptions!$B$33*(N21+N22+N23)</f>
        <v>-399.12479999999999</v>
      </c>
      <c r="O24" s="73" t="s">
        <v>245</v>
      </c>
    </row>
    <row r="25" spans="1:15" x14ac:dyDescent="0.3">
      <c r="A25" s="19" t="s">
        <v>717</v>
      </c>
      <c r="B25" s="54">
        <f t="shared" ref="B25:N25" si="4">-365*B9*B13</f>
        <v>-11098.919999999998</v>
      </c>
      <c r="C25" s="54">
        <f t="shared" si="4"/>
        <v>-5993.4167999999991</v>
      </c>
      <c r="D25" s="54">
        <f t="shared" si="4"/>
        <v>-13318.703999999998</v>
      </c>
      <c r="E25" s="54">
        <f t="shared" si="4"/>
        <v>-11098.919999999998</v>
      </c>
      <c r="F25" s="54">
        <f t="shared" si="4"/>
        <v>-9989.0279999999984</v>
      </c>
      <c r="G25" s="54">
        <f t="shared" si="4"/>
        <v>-11098.919999999998</v>
      </c>
      <c r="H25" s="54">
        <f t="shared" si="4"/>
        <v>-11098.919999999998</v>
      </c>
      <c r="I25" s="54">
        <f t="shared" si="4"/>
        <v>-5549.4599999999991</v>
      </c>
      <c r="J25" s="54">
        <f t="shared" si="4"/>
        <v>-11098.919999999998</v>
      </c>
      <c r="K25" s="54">
        <f t="shared" si="4"/>
        <v>-11098.919999999998</v>
      </c>
      <c r="L25" s="54">
        <f t="shared" si="4"/>
        <v>-11098.919999999998</v>
      </c>
      <c r="M25" s="54">
        <f t="shared" si="4"/>
        <v>-4328.5787999999993</v>
      </c>
      <c r="N25" s="54">
        <f t="shared" si="4"/>
        <v>-5993.4167999999991</v>
      </c>
      <c r="O25" s="73" t="s">
        <v>245</v>
      </c>
    </row>
    <row r="26" spans="1:15" x14ac:dyDescent="0.3">
      <c r="A26" s="19" t="s">
        <v>718</v>
      </c>
      <c r="B26" s="54">
        <f>-B15*Assumptions!$B$142*1*12</f>
        <v>0</v>
      </c>
      <c r="C26" s="54">
        <f>-C15*Assumptions!$B$142*1*12</f>
        <v>0</v>
      </c>
      <c r="D26" s="54">
        <f>-D15*Assumptions!$B$142*1*12</f>
        <v>0</v>
      </c>
      <c r="E26" s="54">
        <f>-E15*Assumptions!$B$142*1*12</f>
        <v>0</v>
      </c>
      <c r="F26" s="54">
        <f>-F15*Assumptions!$B$142*1*12</f>
        <v>0</v>
      </c>
      <c r="G26" s="54">
        <f>-G15*Assumptions!$B$142*1*12</f>
        <v>0</v>
      </c>
      <c r="H26" s="54">
        <f>-H15*Assumptions!$B$142*1*12</f>
        <v>0</v>
      </c>
      <c r="I26" s="54">
        <f>-I15*Assumptions!$B$142*1*12</f>
        <v>0</v>
      </c>
      <c r="J26" s="54">
        <f>-J15*Assumptions!$B$142*1*12</f>
        <v>0</v>
      </c>
      <c r="K26" s="54">
        <f>-K15*Assumptions!$B$142*1*12</f>
        <v>-10712.4</v>
      </c>
      <c r="L26" s="54">
        <f>-L15*Assumptions!$B$142*1*12</f>
        <v>0</v>
      </c>
      <c r="M26" s="54">
        <f>-M15*Assumptions!$B$142*1*12</f>
        <v>0</v>
      </c>
      <c r="N26" s="54">
        <f>-N15*Assumptions!$B$142*1*12</f>
        <v>0</v>
      </c>
      <c r="O26" s="73" t="s">
        <v>245</v>
      </c>
    </row>
    <row r="27" spans="1:15" x14ac:dyDescent="0.3">
      <c r="A27" s="19" t="s">
        <v>719</v>
      </c>
      <c r="B27" s="54">
        <f>-Assumptions!$B$34*(1+0)</f>
        <v>-10000</v>
      </c>
      <c r="C27" s="54">
        <f>-Assumptions!$B$34*(1+Pools_Scenarios!$C$96)</f>
        <v>-15000</v>
      </c>
      <c r="D27" s="54">
        <f>-Assumptions!$B$34*(1+0)</f>
        <v>-10000</v>
      </c>
      <c r="E27" s="54">
        <f>-Assumptions!$B$34*(1+Pools_Scenarios!$C$96)</f>
        <v>-15000</v>
      </c>
      <c r="F27" s="54">
        <f>-Assumptions!$B$34*(1+0)</f>
        <v>-10000</v>
      </c>
      <c r="G27" s="54">
        <f>-Assumptions!$B$34*(1+0)</f>
        <v>-10000</v>
      </c>
      <c r="H27" s="54">
        <f>-Assumptions!$B$34*(1+0)</f>
        <v>-10000</v>
      </c>
      <c r="I27" s="54">
        <f>-Assumptions!$B$34*(1+0)</f>
        <v>-10000</v>
      </c>
      <c r="J27" s="54">
        <f>-Assumptions!$B$34*(1+0)</f>
        <v>-10000</v>
      </c>
      <c r="K27" s="54">
        <f>-Assumptions!$B$34*(1+0)</f>
        <v>-10000</v>
      </c>
      <c r="L27" s="54">
        <f>-Assumptions!$B$34*(1+0)</f>
        <v>-10000</v>
      </c>
      <c r="M27" s="54">
        <f>-Assumptions!$B$34*(1+Pools_Scenarios!$C$96)</f>
        <v>-15000</v>
      </c>
      <c r="N27" s="54">
        <f>-Assumptions!$B$34*(1+Pools_Scenarios!$C$96)</f>
        <v>-15000</v>
      </c>
      <c r="O27" s="73" t="s">
        <v>245</v>
      </c>
    </row>
    <row r="28" spans="1:15" x14ac:dyDescent="0.3">
      <c r="A28" s="19" t="s">
        <v>720</v>
      </c>
      <c r="B28" s="54">
        <f>-Assumptions!$B$108/Assumptions!$B$128</f>
        <v>-2500</v>
      </c>
      <c r="C28" s="54">
        <f>-Assumptions!$B$108/Assumptions!$B$128</f>
        <v>-2500</v>
      </c>
      <c r="D28" s="54">
        <f>-Assumptions!$B$108/Assumptions!$B$128</f>
        <v>-2500</v>
      </c>
      <c r="E28" s="54">
        <f>-Assumptions!$B$108/Assumptions!$B$128</f>
        <v>-2500</v>
      </c>
      <c r="F28" s="54">
        <f>-Assumptions!$B$108/Assumptions!$B$128</f>
        <v>-2500</v>
      </c>
      <c r="G28" s="54">
        <f>-Assumptions!$B$108/Assumptions!$B$128</f>
        <v>-2500</v>
      </c>
      <c r="H28" s="54">
        <f>-Assumptions!$B$108/Assumptions!$B$128</f>
        <v>-2500</v>
      </c>
      <c r="I28" s="54">
        <f>-Assumptions!$B$108/Assumptions!$B$128</f>
        <v>-2500</v>
      </c>
      <c r="J28" s="54">
        <f>-Assumptions!$B$108/Assumptions!$B$128</f>
        <v>-2500</v>
      </c>
      <c r="K28" s="54">
        <f>-Assumptions!$B$108/Assumptions!$B$128</f>
        <v>-2500</v>
      </c>
      <c r="L28" s="54">
        <f>-Assumptions!$B$108/Assumptions!$B$128</f>
        <v>-2500</v>
      </c>
      <c r="M28" s="54">
        <f>-Assumptions!$B$108/Assumptions!$B$128</f>
        <v>-2500</v>
      </c>
      <c r="N28" s="54">
        <f>-Assumptions!$B$108/Assumptions!$B$128</f>
        <v>-2500</v>
      </c>
      <c r="O28" s="73" t="s">
        <v>245</v>
      </c>
    </row>
    <row r="29" spans="1:15" x14ac:dyDescent="0.3">
      <c r="A29" s="26" t="s">
        <v>721</v>
      </c>
      <c r="B29" s="67">
        <f t="shared" ref="B29:N29" si="5">SUM(B21:B28)</f>
        <v>11215.349999999999</v>
      </c>
      <c r="C29" s="67">
        <f t="shared" si="5"/>
        <v>-10588.381599999999</v>
      </c>
      <c r="D29" s="67">
        <f t="shared" si="5"/>
        <v>8995.5659999999989</v>
      </c>
      <c r="E29" s="67">
        <f t="shared" si="5"/>
        <v>6215.3499999999985</v>
      </c>
      <c r="F29" s="67">
        <f t="shared" si="5"/>
        <v>9018.4149999999972</v>
      </c>
      <c r="G29" s="67">
        <f t="shared" si="5"/>
        <v>4884.9360000000015</v>
      </c>
      <c r="H29" s="67">
        <f t="shared" si="5"/>
        <v>11215.349999999999</v>
      </c>
      <c r="I29" s="67">
        <f t="shared" si="5"/>
        <v>938.77500000000146</v>
      </c>
      <c r="J29" s="67">
        <f t="shared" si="5"/>
        <v>8053.1499999999978</v>
      </c>
      <c r="K29" s="67">
        <f t="shared" si="5"/>
        <v>502.94999999999891</v>
      </c>
      <c r="L29" s="67">
        <f t="shared" si="5"/>
        <v>11215.349999999999</v>
      </c>
      <c r="M29" s="67">
        <f t="shared" si="5"/>
        <v>-15455.6788</v>
      </c>
      <c r="N29" s="67">
        <f t="shared" si="5"/>
        <v>-10588.381599999999</v>
      </c>
      <c r="O29" s="73" t="s">
        <v>245</v>
      </c>
    </row>
    <row r="30" spans="1:15" x14ac:dyDescent="0.3">
      <c r="A30" s="19" t="s">
        <v>722</v>
      </c>
      <c r="B30" s="79">
        <f t="shared" ref="B30:N30" si="6">(B21+B22+B23)/365</f>
        <v>98.331506849315062</v>
      </c>
      <c r="C30" s="79">
        <f t="shared" si="6"/>
        <v>36.449753424657537</v>
      </c>
      <c r="D30" s="79">
        <f t="shared" si="6"/>
        <v>98.331506849315062</v>
      </c>
      <c r="E30" s="79">
        <f t="shared" si="6"/>
        <v>98.331506849315062</v>
      </c>
      <c r="F30" s="79">
        <f t="shared" si="6"/>
        <v>88.991506849315059</v>
      </c>
      <c r="G30" s="79">
        <f t="shared" si="6"/>
        <v>80.451506849315066</v>
      </c>
      <c r="H30" s="79">
        <f t="shared" si="6"/>
        <v>98.331506849315062</v>
      </c>
      <c r="I30" s="79">
        <f t="shared" si="6"/>
        <v>53.631506849315066</v>
      </c>
      <c r="J30" s="79">
        <f t="shared" si="6"/>
        <v>89.399999999999991</v>
      </c>
      <c r="K30" s="79">
        <f t="shared" si="6"/>
        <v>98.331506849315062</v>
      </c>
      <c r="L30" s="79">
        <f t="shared" si="6"/>
        <v>98.331506849315062</v>
      </c>
      <c r="M30" s="79">
        <f t="shared" si="6"/>
        <v>18</v>
      </c>
      <c r="N30" s="79">
        <f t="shared" si="6"/>
        <v>36.449753424657537</v>
      </c>
      <c r="O30" s="73" t="s">
        <v>723</v>
      </c>
    </row>
    <row r="31" spans="1:15" x14ac:dyDescent="0.3">
      <c r="A31" s="40" t="s">
        <v>724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3">
      <c r="A32" s="19" t="s">
        <v>710</v>
      </c>
      <c r="B32" s="54">
        <f>Assumptions!$B$117</f>
        <v>25000</v>
      </c>
      <c r="C32" s="54">
        <f>Assumptions!$B$117</f>
        <v>25000</v>
      </c>
      <c r="D32" s="54">
        <f>Assumptions!$B$117</f>
        <v>25000</v>
      </c>
      <c r="E32" s="54">
        <f>Assumptions!$B$117</f>
        <v>25000</v>
      </c>
      <c r="F32" s="54">
        <f>Assumptions!$B$117</f>
        <v>25000</v>
      </c>
      <c r="G32" s="54">
        <f>Assumptions!$B$117</f>
        <v>25000</v>
      </c>
      <c r="H32" s="54">
        <f>Assumptions!$B$117</f>
        <v>25000</v>
      </c>
      <c r="I32" s="54">
        <f>Assumptions!$B$117</f>
        <v>25000</v>
      </c>
      <c r="J32" s="54">
        <f>Assumptions!$B$117</f>
        <v>25000</v>
      </c>
      <c r="K32" s="54">
        <f>Assumptions!$B$117</f>
        <v>25000</v>
      </c>
      <c r="L32" s="54">
        <f>Assumptions!$B$117</f>
        <v>25000</v>
      </c>
      <c r="M32" s="54">
        <f>Assumptions!$B$117</f>
        <v>25000</v>
      </c>
      <c r="N32" s="54">
        <f>Assumptions!$B$117</f>
        <v>25000</v>
      </c>
      <c r="O32" s="73" t="s">
        <v>228</v>
      </c>
    </row>
    <row r="33" spans="1:15" x14ac:dyDescent="0.3">
      <c r="A33" s="19" t="s">
        <v>712</v>
      </c>
      <c r="B33" s="54">
        <f>Assumptions!$B$107/Assumptions!$B$128</f>
        <v>7500</v>
      </c>
      <c r="C33" s="54">
        <f>Assumptions!$B$107/Assumptions!$B$128</f>
        <v>7500</v>
      </c>
      <c r="D33" s="54">
        <f>Assumptions!$B$107/Assumptions!$B$128</f>
        <v>7500</v>
      </c>
      <c r="E33" s="54">
        <f>Assumptions!$B$107/Assumptions!$B$128</f>
        <v>7500</v>
      </c>
      <c r="F33" s="54">
        <f>Assumptions!$B$107/Assumptions!$B$128</f>
        <v>7500</v>
      </c>
      <c r="G33" s="54">
        <f>Assumptions!$B$107/Assumptions!$B$128</f>
        <v>7500</v>
      </c>
      <c r="H33" s="54">
        <f>Assumptions!$B$107/Assumptions!$B$128</f>
        <v>7500</v>
      </c>
      <c r="I33" s="54">
        <f>Assumptions!$B$107/Assumptions!$B$128</f>
        <v>7500</v>
      </c>
      <c r="J33" s="54">
        <f>Assumptions!$B$107/Assumptions!$B$128</f>
        <v>7500</v>
      </c>
      <c r="K33" s="54">
        <f>Assumptions!$B$107/Assumptions!$B$128</f>
        <v>7500</v>
      </c>
      <c r="L33" s="54">
        <f>Assumptions!$B$107/Assumptions!$B$128</f>
        <v>7500</v>
      </c>
      <c r="M33" s="54">
        <f>Assumptions!$B$107/Assumptions!$B$128</f>
        <v>7500</v>
      </c>
      <c r="N33" s="54">
        <f>Assumptions!$B$107/Assumptions!$B$128</f>
        <v>7500</v>
      </c>
      <c r="O33" s="73" t="s">
        <v>228</v>
      </c>
    </row>
    <row r="34" spans="1:15" x14ac:dyDescent="0.3">
      <c r="A34" s="26" t="s">
        <v>713</v>
      </c>
      <c r="B34" s="68">
        <f t="shared" ref="B34:N34" si="7">B32+B33</f>
        <v>32500</v>
      </c>
      <c r="C34" s="68">
        <f t="shared" si="7"/>
        <v>32500</v>
      </c>
      <c r="D34" s="68">
        <f t="shared" si="7"/>
        <v>32500</v>
      </c>
      <c r="E34" s="68">
        <f t="shared" si="7"/>
        <v>32500</v>
      </c>
      <c r="F34" s="68">
        <f t="shared" si="7"/>
        <v>32500</v>
      </c>
      <c r="G34" s="68">
        <f t="shared" si="7"/>
        <v>32500</v>
      </c>
      <c r="H34" s="68">
        <f t="shared" si="7"/>
        <v>32500</v>
      </c>
      <c r="I34" s="68">
        <f t="shared" si="7"/>
        <v>32500</v>
      </c>
      <c r="J34" s="68">
        <f t="shared" si="7"/>
        <v>32500</v>
      </c>
      <c r="K34" s="68">
        <f t="shared" si="7"/>
        <v>32500</v>
      </c>
      <c r="L34" s="68">
        <f t="shared" si="7"/>
        <v>32500</v>
      </c>
      <c r="M34" s="68">
        <f t="shared" si="7"/>
        <v>32500</v>
      </c>
      <c r="N34" s="68">
        <f t="shared" si="7"/>
        <v>32500</v>
      </c>
      <c r="O34" s="73" t="s">
        <v>228</v>
      </c>
    </row>
    <row r="35" spans="1:15" x14ac:dyDescent="0.3">
      <c r="A35" s="19" t="s">
        <v>714</v>
      </c>
      <c r="B35" s="54">
        <f t="shared" ref="B35:N35" si="8">365*B9*B12</f>
        <v>20805</v>
      </c>
      <c r="C35" s="54">
        <f t="shared" si="8"/>
        <v>7489.8</v>
      </c>
      <c r="D35" s="54">
        <f t="shared" si="8"/>
        <v>20805</v>
      </c>
      <c r="E35" s="54">
        <f t="shared" si="8"/>
        <v>20805</v>
      </c>
      <c r="F35" s="54">
        <f t="shared" si="8"/>
        <v>18724.5</v>
      </c>
      <c r="G35" s="54">
        <f t="shared" si="8"/>
        <v>16644</v>
      </c>
      <c r="H35" s="54">
        <f t="shared" si="8"/>
        <v>20805</v>
      </c>
      <c r="I35" s="54">
        <f t="shared" si="8"/>
        <v>10402.5</v>
      </c>
      <c r="J35" s="54">
        <f t="shared" si="8"/>
        <v>20805</v>
      </c>
      <c r="K35" s="54">
        <f t="shared" si="8"/>
        <v>20805</v>
      </c>
      <c r="L35" s="54">
        <f t="shared" si="8"/>
        <v>20805</v>
      </c>
      <c r="M35" s="54">
        <f t="shared" si="8"/>
        <v>6570</v>
      </c>
      <c r="N35" s="54">
        <f t="shared" si="8"/>
        <v>7489.8</v>
      </c>
      <c r="O35" s="73" t="s">
        <v>245</v>
      </c>
    </row>
    <row r="36" spans="1:15" x14ac:dyDescent="0.3">
      <c r="A36" s="19" t="s">
        <v>715</v>
      </c>
      <c r="B36" s="54">
        <f>365*Assumptions!$B$124*Assumptions!$B$123*(1-B8)</f>
        <v>1460</v>
      </c>
      <c r="C36" s="54">
        <f>365*Pools_Scenarios!$C$99*Assumptions!$B$123*(1-C8)</f>
        <v>657</v>
      </c>
      <c r="D36" s="54">
        <f>365*Assumptions!$B$124*Assumptions!$B$123*(1-D8)</f>
        <v>1460</v>
      </c>
      <c r="E36" s="54">
        <f>365*Assumptions!$B$124*Assumptions!$B$123*(1-E8)</f>
        <v>1460</v>
      </c>
      <c r="F36" s="54">
        <f>365*Assumptions!$B$124*Assumptions!$B$123*(1-F8)</f>
        <v>1314</v>
      </c>
      <c r="G36" s="54">
        <f>365*Assumptions!$B$124*Assumptions!$B$123*(1-G8)</f>
        <v>1460</v>
      </c>
      <c r="H36" s="54">
        <f>365*Assumptions!$B$124*Assumptions!$B$123*(1-H8)</f>
        <v>1460</v>
      </c>
      <c r="I36" s="54">
        <f>365*Assumptions!$B$124*Assumptions!$B$123*(1-I8)</f>
        <v>1460</v>
      </c>
      <c r="J36" s="54">
        <f>365*0*Assumptions!$B$123*(1-J8)</f>
        <v>0</v>
      </c>
      <c r="K36" s="54">
        <f>365*Assumptions!$B$124*Assumptions!$B$123*(1-K8)</f>
        <v>1460</v>
      </c>
      <c r="L36" s="54">
        <f>365*Assumptions!$B$124*Assumptions!$B$123*(1-L8)</f>
        <v>1460</v>
      </c>
      <c r="M36" s="54">
        <f>365*0*Assumptions!$B$123*(1-M8)</f>
        <v>0</v>
      </c>
      <c r="N36" s="54">
        <f>365*Pools_Scenarios!$C$99*Assumptions!$B$123*(1-N8)</f>
        <v>657</v>
      </c>
      <c r="O36" s="73" t="s">
        <v>245</v>
      </c>
    </row>
    <row r="37" spans="1:15" x14ac:dyDescent="0.3">
      <c r="A37" s="19" t="s">
        <v>716</v>
      </c>
      <c r="B37" s="54">
        <f>Assumptions!$B$126*Assumptions!$B$125*12</f>
        <v>1800</v>
      </c>
      <c r="C37" s="54">
        <f>Pools_Scenarios!$C$100*Assumptions!$B$125*12</f>
        <v>900</v>
      </c>
      <c r="D37" s="54">
        <f>Assumptions!$B$126*Assumptions!$B$125*12</f>
        <v>1800</v>
      </c>
      <c r="E37" s="54">
        <f>Assumptions!$B$126*Assumptions!$B$125*12</f>
        <v>1800</v>
      </c>
      <c r="F37" s="54">
        <f>Assumptions!$B$126*Assumptions!$B$125*12</f>
        <v>1800</v>
      </c>
      <c r="G37" s="54">
        <f>Assumptions!$B$126*Assumptions!$B$125*12</f>
        <v>1800</v>
      </c>
      <c r="H37" s="54">
        <f>Assumptions!$B$126*Assumptions!$B$125*12</f>
        <v>1800</v>
      </c>
      <c r="I37" s="54">
        <f>Assumptions!$B$126*Assumptions!$B$125*12</f>
        <v>1800</v>
      </c>
      <c r="J37" s="54">
        <f>0*Assumptions!$B$125*12</f>
        <v>0</v>
      </c>
      <c r="K37" s="54">
        <f>Assumptions!$B$126*Assumptions!$B$125*12</f>
        <v>1800</v>
      </c>
      <c r="L37" s="54">
        <f>Assumptions!$B$126*Assumptions!$B$125*12</f>
        <v>1800</v>
      </c>
      <c r="M37" s="54">
        <f>0*Assumptions!$B$125*12</f>
        <v>0</v>
      </c>
      <c r="N37" s="54">
        <f>Pools_Scenarios!$C$100*Assumptions!$B$125*12</f>
        <v>900</v>
      </c>
      <c r="O37" s="73" t="s">
        <v>245</v>
      </c>
    </row>
    <row r="38" spans="1:15" x14ac:dyDescent="0.3">
      <c r="A38" s="19" t="s">
        <v>286</v>
      </c>
      <c r="B38" s="54">
        <f>-Assumptions!$B$33*(B35+B36+B37)</f>
        <v>-721.94999999999993</v>
      </c>
      <c r="C38" s="54">
        <f>-Assumptions!$B$33*(C35+C36+C37)</f>
        <v>-271.404</v>
      </c>
      <c r="D38" s="54">
        <f>-Assumptions!$B$33*(D35+D36+D37)</f>
        <v>-721.94999999999993</v>
      </c>
      <c r="E38" s="54">
        <f>-Assumptions!$B$33*(E35+E36+E37)</f>
        <v>-721.94999999999993</v>
      </c>
      <c r="F38" s="54">
        <f>-Assumptions!$B$33*(F35+F36+F37)</f>
        <v>-655.15499999999997</v>
      </c>
      <c r="G38" s="54">
        <f>-Assumptions!$B$33*(G35+G36+G37)</f>
        <v>-597.12</v>
      </c>
      <c r="H38" s="54">
        <f>-Assumptions!$B$33*(H35+H36+H37)</f>
        <v>-721.94999999999993</v>
      </c>
      <c r="I38" s="54">
        <f>-Assumptions!$B$33*(I35+I36+I37)</f>
        <v>-409.875</v>
      </c>
      <c r="J38" s="54">
        <f>-Assumptions!$B$33*(J35+J36+J37)</f>
        <v>-624.15</v>
      </c>
      <c r="K38" s="54">
        <f>-Assumptions!$B$33*(K35+K36+K37)</f>
        <v>-721.94999999999993</v>
      </c>
      <c r="L38" s="54">
        <f>-Assumptions!$B$33*(L35+L36+L37)</f>
        <v>-721.94999999999993</v>
      </c>
      <c r="M38" s="54">
        <f>-Assumptions!$B$33*(M35+M36+M37)</f>
        <v>-197.1</v>
      </c>
      <c r="N38" s="54">
        <f>-Assumptions!$B$33*(N35+N36+N37)</f>
        <v>-271.404</v>
      </c>
      <c r="O38" s="73" t="s">
        <v>245</v>
      </c>
    </row>
    <row r="39" spans="1:15" x14ac:dyDescent="0.3">
      <c r="A39" s="19" t="s">
        <v>717</v>
      </c>
      <c r="B39" s="54">
        <f t="shared" ref="B39:N39" si="9">-365*B9*B13</f>
        <v>-11098.919999999998</v>
      </c>
      <c r="C39" s="54">
        <f t="shared" si="9"/>
        <v>-5993.4167999999991</v>
      </c>
      <c r="D39" s="54">
        <f t="shared" si="9"/>
        <v>-13318.703999999998</v>
      </c>
      <c r="E39" s="54">
        <f t="shared" si="9"/>
        <v>-11098.919999999998</v>
      </c>
      <c r="F39" s="54">
        <f t="shared" si="9"/>
        <v>-9989.0279999999984</v>
      </c>
      <c r="G39" s="54">
        <f t="shared" si="9"/>
        <v>-11098.919999999998</v>
      </c>
      <c r="H39" s="54">
        <f t="shared" si="9"/>
        <v>-11098.919999999998</v>
      </c>
      <c r="I39" s="54">
        <f t="shared" si="9"/>
        <v>-5549.4599999999991</v>
      </c>
      <c r="J39" s="54">
        <f t="shared" si="9"/>
        <v>-11098.919999999998</v>
      </c>
      <c r="K39" s="54">
        <f t="shared" si="9"/>
        <v>-11098.919999999998</v>
      </c>
      <c r="L39" s="54">
        <f t="shared" si="9"/>
        <v>-11098.919999999998</v>
      </c>
      <c r="M39" s="54">
        <f t="shared" si="9"/>
        <v>-4328.5787999999993</v>
      </c>
      <c r="N39" s="54">
        <f t="shared" si="9"/>
        <v>-5993.4167999999991</v>
      </c>
      <c r="O39" s="73" t="s">
        <v>245</v>
      </c>
    </row>
    <row r="40" spans="1:15" x14ac:dyDescent="0.3">
      <c r="A40" s="19" t="s">
        <v>718</v>
      </c>
      <c r="B40" s="54">
        <f>-B15*Assumptions!$B$142*22/60*12</f>
        <v>0</v>
      </c>
      <c r="C40" s="54">
        <f>-C15*Assumptions!$B$142*22/60*12</f>
        <v>0</v>
      </c>
      <c r="D40" s="54">
        <f>-D15*Assumptions!$B$142*22/60*12</f>
        <v>0</v>
      </c>
      <c r="E40" s="54">
        <f>-E15*Assumptions!$B$142*22/60*12</f>
        <v>0</v>
      </c>
      <c r="F40" s="54">
        <f>-F15*Assumptions!$B$142*22/60*12</f>
        <v>0</v>
      </c>
      <c r="G40" s="54">
        <f>-G15*Assumptions!$B$142*22/60*12</f>
        <v>0</v>
      </c>
      <c r="H40" s="54">
        <f>-H15*Assumptions!$B$142*22/60*12</f>
        <v>0</v>
      </c>
      <c r="I40" s="54">
        <f>-I15*Assumptions!$B$142*22/60*12</f>
        <v>0</v>
      </c>
      <c r="J40" s="54">
        <f>-J15*Assumptions!$B$142*22/60*12</f>
        <v>0</v>
      </c>
      <c r="K40" s="54">
        <f>-K15*Assumptions!$B$142*22/60*12</f>
        <v>-3927.88</v>
      </c>
      <c r="L40" s="54">
        <f>-L15*Assumptions!$B$142*22/60*12</f>
        <v>0</v>
      </c>
      <c r="M40" s="54">
        <f>-M15*Assumptions!$B$142*22/60*12</f>
        <v>0</v>
      </c>
      <c r="N40" s="54">
        <f>-N15*Assumptions!$B$142*22/60*12</f>
        <v>0</v>
      </c>
      <c r="O40" s="73" t="s">
        <v>245</v>
      </c>
    </row>
    <row r="41" spans="1:15" x14ac:dyDescent="0.3">
      <c r="A41" s="19" t="s">
        <v>719</v>
      </c>
      <c r="B41" s="54">
        <f>-Assumptions!$B$127*(1+0)</f>
        <v>-3000</v>
      </c>
      <c r="C41" s="54">
        <f>-Assumptions!$B$127*(1+Pools_Scenarios!$C$96)</f>
        <v>-4500</v>
      </c>
      <c r="D41" s="54">
        <f>-Assumptions!$B$127*(1+0)</f>
        <v>-3000</v>
      </c>
      <c r="E41" s="54">
        <f>-Assumptions!$B$127*(1+Pools_Scenarios!$C$96)</f>
        <v>-4500</v>
      </c>
      <c r="F41" s="54">
        <f>-Assumptions!$B$127*(1+0)</f>
        <v>-3000</v>
      </c>
      <c r="G41" s="54">
        <f>-Assumptions!$B$127*(1+0)</f>
        <v>-3000</v>
      </c>
      <c r="H41" s="54">
        <f>-Assumptions!$B$127*(1+0)</f>
        <v>-3000</v>
      </c>
      <c r="I41" s="54">
        <f>-Assumptions!$B$127*(1+0)</f>
        <v>-3000</v>
      </c>
      <c r="J41" s="54">
        <f>-Assumptions!$B$127*(1+0)</f>
        <v>-3000</v>
      </c>
      <c r="K41" s="54">
        <f>-Assumptions!$B$127*(1+0)</f>
        <v>-3000</v>
      </c>
      <c r="L41" s="54">
        <f>-Assumptions!$B$127*(1+0)</f>
        <v>-3000</v>
      </c>
      <c r="M41" s="54">
        <f>-Assumptions!$B$127*(1+Pools_Scenarios!$C$96)</f>
        <v>-4500</v>
      </c>
      <c r="N41" s="54">
        <f>-Assumptions!$B$127*(1+Pools_Scenarios!$C$96)</f>
        <v>-4500</v>
      </c>
      <c r="O41" s="73" t="s">
        <v>245</v>
      </c>
    </row>
    <row r="42" spans="1:15" x14ac:dyDescent="0.3">
      <c r="A42" s="19" t="s">
        <v>720</v>
      </c>
      <c r="B42" s="54">
        <f>-Assumptions!$B$108/Assumptions!$B$128</f>
        <v>-2500</v>
      </c>
      <c r="C42" s="54">
        <f>-Assumptions!$B$108/Assumptions!$B$128</f>
        <v>-2500</v>
      </c>
      <c r="D42" s="54">
        <f>-Assumptions!$B$108/Assumptions!$B$128</f>
        <v>-2500</v>
      </c>
      <c r="E42" s="54">
        <f>-Assumptions!$B$108/Assumptions!$B$128</f>
        <v>-2500</v>
      </c>
      <c r="F42" s="54">
        <f>-Assumptions!$B$108/Assumptions!$B$128</f>
        <v>-2500</v>
      </c>
      <c r="G42" s="54">
        <f>-Assumptions!$B$108/Assumptions!$B$128</f>
        <v>-2500</v>
      </c>
      <c r="H42" s="54">
        <f>-Assumptions!$B$108/Assumptions!$B$128</f>
        <v>-2500</v>
      </c>
      <c r="I42" s="54">
        <f>-Assumptions!$B$108/Assumptions!$B$128</f>
        <v>-2500</v>
      </c>
      <c r="J42" s="54">
        <f>-Assumptions!$B$108/Assumptions!$B$128</f>
        <v>-2500</v>
      </c>
      <c r="K42" s="54">
        <f>-Assumptions!$B$108/Assumptions!$B$128</f>
        <v>-2500</v>
      </c>
      <c r="L42" s="54">
        <f>-Assumptions!$B$108/Assumptions!$B$128</f>
        <v>-2500</v>
      </c>
      <c r="M42" s="54">
        <f>-Assumptions!$B$108/Assumptions!$B$128</f>
        <v>-2500</v>
      </c>
      <c r="N42" s="54">
        <f>-Assumptions!$B$108/Assumptions!$B$128</f>
        <v>-2500</v>
      </c>
      <c r="O42" s="73" t="s">
        <v>245</v>
      </c>
    </row>
    <row r="43" spans="1:15" x14ac:dyDescent="0.3">
      <c r="A43" s="26" t="s">
        <v>721</v>
      </c>
      <c r="B43" s="67">
        <f t="shared" ref="B43:N43" si="10">SUM(B35:B42)</f>
        <v>6744.130000000001</v>
      </c>
      <c r="C43" s="67">
        <f t="shared" si="10"/>
        <v>-4218.0208000000002</v>
      </c>
      <c r="D43" s="67">
        <f t="shared" si="10"/>
        <v>4524.3460000000014</v>
      </c>
      <c r="E43" s="67">
        <f t="shared" si="10"/>
        <v>5244.130000000001</v>
      </c>
      <c r="F43" s="67">
        <f t="shared" si="10"/>
        <v>5694.3170000000027</v>
      </c>
      <c r="G43" s="67">
        <f t="shared" si="10"/>
        <v>2707.9600000000028</v>
      </c>
      <c r="H43" s="67">
        <f t="shared" si="10"/>
        <v>6744.130000000001</v>
      </c>
      <c r="I43" s="67">
        <f t="shared" si="10"/>
        <v>2203.1650000000009</v>
      </c>
      <c r="J43" s="67">
        <f t="shared" si="10"/>
        <v>3581.9300000000003</v>
      </c>
      <c r="K43" s="67">
        <f t="shared" si="10"/>
        <v>2816.25</v>
      </c>
      <c r="L43" s="67">
        <f t="shared" si="10"/>
        <v>6744.130000000001</v>
      </c>
      <c r="M43" s="67">
        <f t="shared" si="10"/>
        <v>-4955.6787999999997</v>
      </c>
      <c r="N43" s="67">
        <f t="shared" si="10"/>
        <v>-4218.0208000000002</v>
      </c>
      <c r="O43" s="73" t="s">
        <v>245</v>
      </c>
    </row>
    <row r="44" spans="1:15" x14ac:dyDescent="0.3">
      <c r="A44" s="19" t="s">
        <v>722</v>
      </c>
      <c r="B44" s="79">
        <f t="shared" ref="B44:N44" si="11">(B35+B36+B37)/365</f>
        <v>65.93150684931507</v>
      </c>
      <c r="C44" s="79">
        <f t="shared" si="11"/>
        <v>24.785753424657532</v>
      </c>
      <c r="D44" s="79">
        <f t="shared" si="11"/>
        <v>65.93150684931507</v>
      </c>
      <c r="E44" s="79">
        <f t="shared" si="11"/>
        <v>65.93150684931507</v>
      </c>
      <c r="F44" s="79">
        <f t="shared" si="11"/>
        <v>59.831506849315069</v>
      </c>
      <c r="G44" s="79">
        <f t="shared" si="11"/>
        <v>54.531506849315072</v>
      </c>
      <c r="H44" s="79">
        <f t="shared" si="11"/>
        <v>65.93150684931507</v>
      </c>
      <c r="I44" s="79">
        <f t="shared" si="11"/>
        <v>37.43150684931507</v>
      </c>
      <c r="J44" s="79">
        <f t="shared" si="11"/>
        <v>57</v>
      </c>
      <c r="K44" s="79">
        <f t="shared" si="11"/>
        <v>65.93150684931507</v>
      </c>
      <c r="L44" s="79">
        <f t="shared" si="11"/>
        <v>65.93150684931507</v>
      </c>
      <c r="M44" s="79">
        <f t="shared" si="11"/>
        <v>18</v>
      </c>
      <c r="N44" s="79">
        <f t="shared" si="11"/>
        <v>24.785753424657532</v>
      </c>
      <c r="O44" s="73" t="s">
        <v>723</v>
      </c>
    </row>
    <row r="45" spans="1:15" x14ac:dyDescent="0.3">
      <c r="A45" s="40" t="s">
        <v>725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</row>
    <row r="46" spans="1:15" x14ac:dyDescent="0.3">
      <c r="A46" s="26" t="s">
        <v>726</v>
      </c>
      <c r="B46" s="68">
        <f>Assumptions!$B$115*B20+(1-Assumptions!$B$115)*B34</f>
        <v>45000</v>
      </c>
      <c r="C46" s="68">
        <f>Assumptions!$B$115*C20+(1-Assumptions!$B$115)*C34</f>
        <v>70000</v>
      </c>
      <c r="D46" s="68">
        <f>Assumptions!$B$115*D20+(1-Assumptions!$B$115)*D34</f>
        <v>45000</v>
      </c>
      <c r="E46" s="68">
        <f>Assumptions!$B$115*E20+(1-Assumptions!$B$115)*E34</f>
        <v>45000</v>
      </c>
      <c r="F46" s="68">
        <f>Assumptions!$B$115*F20+(1-Assumptions!$B$115)*F34</f>
        <v>45000</v>
      </c>
      <c r="G46" s="68">
        <f>Assumptions!$B$115*G20+(1-Assumptions!$B$115)*G34</f>
        <v>45000</v>
      </c>
      <c r="H46" s="68">
        <f>Assumptions!$B$115*H20+(1-Assumptions!$B$115)*H34</f>
        <v>70000</v>
      </c>
      <c r="I46" s="68">
        <f>Assumptions!$B$115*I20+(1-Assumptions!$B$115)*I34</f>
        <v>45000</v>
      </c>
      <c r="J46" s="68">
        <f>Assumptions!$B$115*J20+(1-Assumptions!$B$115)*J34</f>
        <v>45000</v>
      </c>
      <c r="K46" s="68">
        <f>Assumptions!$B$115*K20+(1-Assumptions!$B$115)*K34</f>
        <v>45000</v>
      </c>
      <c r="L46" s="68">
        <f>Assumptions!$B$115*L20+(1-Assumptions!$B$115)*L34</f>
        <v>45000</v>
      </c>
      <c r="M46" s="68">
        <f>Assumptions!$B$115*M20+(1-Assumptions!$B$115)*M34</f>
        <v>70000</v>
      </c>
      <c r="N46" s="68">
        <f>Assumptions!$B$115*N20+(1-Assumptions!$B$115)*N34</f>
        <v>70000</v>
      </c>
      <c r="O46" s="73" t="s">
        <v>228</v>
      </c>
    </row>
    <row r="47" spans="1:15" x14ac:dyDescent="0.3">
      <c r="A47" s="19" t="s">
        <v>727</v>
      </c>
      <c r="B47" s="54">
        <f>Assumptions!$B$115*B18</f>
        <v>25000</v>
      </c>
      <c r="C47" s="54">
        <f>Assumptions!$B$115*C18</f>
        <v>0</v>
      </c>
      <c r="D47" s="54">
        <f>Assumptions!$B$115*D18</f>
        <v>25000</v>
      </c>
      <c r="E47" s="54">
        <f>Assumptions!$B$115*E18</f>
        <v>25000</v>
      </c>
      <c r="F47" s="54">
        <f>Assumptions!$B$115*F18</f>
        <v>25000</v>
      </c>
      <c r="G47" s="54">
        <f>Assumptions!$B$115*G18</f>
        <v>25000</v>
      </c>
      <c r="H47" s="54">
        <f>Assumptions!$B$115*H18</f>
        <v>0</v>
      </c>
      <c r="I47" s="54">
        <f>Assumptions!$B$115*I18</f>
        <v>25000</v>
      </c>
      <c r="J47" s="54">
        <f>Assumptions!$B$115*J18</f>
        <v>25000</v>
      </c>
      <c r="K47" s="54">
        <f>Assumptions!$B$115*K18</f>
        <v>25000</v>
      </c>
      <c r="L47" s="54">
        <f>Assumptions!$B$115*L18</f>
        <v>25000</v>
      </c>
      <c r="M47" s="54">
        <f>Assumptions!$B$115*M18</f>
        <v>0</v>
      </c>
      <c r="N47" s="54">
        <f>Assumptions!$B$115*N18</f>
        <v>0</v>
      </c>
      <c r="O47" s="73" t="s">
        <v>228</v>
      </c>
    </row>
    <row r="48" spans="1:15" x14ac:dyDescent="0.3">
      <c r="A48" s="19" t="s">
        <v>722</v>
      </c>
      <c r="B48" s="79">
        <f>Assumptions!$B$115*B30+(1-Assumptions!$B$115)*B44</f>
        <v>82.131506849315059</v>
      </c>
      <c r="C48" s="79">
        <f>Assumptions!$B$115*C30+(1-Assumptions!$B$115)*C44</f>
        <v>30.617753424657536</v>
      </c>
      <c r="D48" s="79">
        <f>Assumptions!$B$115*D30+(1-Assumptions!$B$115)*D44</f>
        <v>82.131506849315059</v>
      </c>
      <c r="E48" s="79">
        <f>Assumptions!$B$115*E30+(1-Assumptions!$B$115)*E44</f>
        <v>82.131506849315059</v>
      </c>
      <c r="F48" s="79">
        <f>Assumptions!$B$115*F30+(1-Assumptions!$B$115)*F44</f>
        <v>74.41150684931506</v>
      </c>
      <c r="G48" s="79">
        <f>Assumptions!$B$115*G30+(1-Assumptions!$B$115)*G44</f>
        <v>67.491506849315073</v>
      </c>
      <c r="H48" s="79">
        <f>Assumptions!$B$115*H30+(1-Assumptions!$B$115)*H44</f>
        <v>82.131506849315059</v>
      </c>
      <c r="I48" s="79">
        <f>Assumptions!$B$115*I30+(1-Assumptions!$B$115)*I44</f>
        <v>45.531506849315065</v>
      </c>
      <c r="J48" s="79">
        <f>Assumptions!$B$115*J30+(1-Assumptions!$B$115)*J44</f>
        <v>73.199999999999989</v>
      </c>
      <c r="K48" s="79">
        <f>Assumptions!$B$115*K30+(1-Assumptions!$B$115)*K44</f>
        <v>82.131506849315059</v>
      </c>
      <c r="L48" s="79">
        <f>Assumptions!$B$115*L30+(1-Assumptions!$B$115)*L44</f>
        <v>82.131506849315059</v>
      </c>
      <c r="M48" s="79">
        <f>Assumptions!$B$115*M30+(1-Assumptions!$B$115)*M44</f>
        <v>18</v>
      </c>
      <c r="N48" s="79">
        <f>Assumptions!$B$115*N30+(1-Assumptions!$B$115)*N44</f>
        <v>30.617753424657536</v>
      </c>
      <c r="O48" s="73" t="s">
        <v>723</v>
      </c>
    </row>
    <row r="49" spans="1:15" x14ac:dyDescent="0.3">
      <c r="A49" s="19" t="s">
        <v>728</v>
      </c>
      <c r="B49" s="79">
        <f>-(Assumptions!$B$115*(B25+B26)+(1-Assumptions!$B$115)*(B39+B40))/365</f>
        <v>30.407999999999994</v>
      </c>
      <c r="C49" s="79">
        <f>-(Assumptions!$B$115*(C25+C26)+(1-Assumptions!$B$115)*(C39+C40))/365</f>
        <v>16.420319999999997</v>
      </c>
      <c r="D49" s="79">
        <f>-(Assumptions!$B$115*(D25+D26)+(1-Assumptions!$B$115)*(D39+D40))/365</f>
        <v>36.489599999999996</v>
      </c>
      <c r="E49" s="79">
        <f>-(Assumptions!$B$115*(E25+E26)+(1-Assumptions!$B$115)*(E39+E40))/365</f>
        <v>30.407999999999994</v>
      </c>
      <c r="F49" s="79">
        <f>-(Assumptions!$B$115*(F25+F26)+(1-Assumptions!$B$115)*(F39+F40))/365</f>
        <v>27.367199999999997</v>
      </c>
      <c r="G49" s="79">
        <f>-(Assumptions!$B$115*(G25+G26)+(1-Assumptions!$B$115)*(G39+G40))/365</f>
        <v>30.407999999999994</v>
      </c>
      <c r="H49" s="79">
        <f>-(Assumptions!$B$115*(H25+H26)+(1-Assumptions!$B$115)*(H39+H40))/365</f>
        <v>30.407999999999994</v>
      </c>
      <c r="I49" s="79">
        <f>-(Assumptions!$B$115*(I25+I26)+(1-Assumptions!$B$115)*(I39+I40))/365</f>
        <v>15.203999999999997</v>
      </c>
      <c r="J49" s="79">
        <f>-(Assumptions!$B$115*(J25+J26)+(1-Assumptions!$B$115)*(J39+J40))/365</f>
        <v>30.407999999999994</v>
      </c>
      <c r="K49" s="79">
        <f>-(Assumptions!$B$115*(K25+K26)+(1-Assumptions!$B$115)*(K39+K40))/365</f>
        <v>50.463178082191774</v>
      </c>
      <c r="L49" s="79">
        <f>-(Assumptions!$B$115*(L25+L26)+(1-Assumptions!$B$115)*(L39+L40))/365</f>
        <v>30.407999999999994</v>
      </c>
      <c r="M49" s="79">
        <f>-(Assumptions!$B$115*(M25+M26)+(1-Assumptions!$B$115)*(M39+M40))/365</f>
        <v>11.859119999999999</v>
      </c>
      <c r="N49" s="79">
        <f>-(Assumptions!$B$115*(N25+N26)+(1-Assumptions!$B$115)*(N39+N40))/365</f>
        <v>16.420319999999997</v>
      </c>
      <c r="O49" s="73" t="s">
        <v>723</v>
      </c>
    </row>
    <row r="50" spans="1:15" x14ac:dyDescent="0.3">
      <c r="A50" s="26" t="s">
        <v>729</v>
      </c>
      <c r="B50" s="67">
        <f>Assumptions!$B$115*B29+(1-Assumptions!$B$115)*B43</f>
        <v>8979.74</v>
      </c>
      <c r="C50" s="67">
        <f>Assumptions!$B$115*C29+(1-Assumptions!$B$115)*C43</f>
        <v>-7403.2011999999995</v>
      </c>
      <c r="D50" s="67">
        <f>Assumptions!$B$115*D29+(1-Assumptions!$B$115)*D43</f>
        <v>6759.9560000000001</v>
      </c>
      <c r="E50" s="67">
        <f>Assumptions!$B$115*E29+(1-Assumptions!$B$115)*E43</f>
        <v>5729.74</v>
      </c>
      <c r="F50" s="67">
        <f>Assumptions!$B$115*F29+(1-Assumptions!$B$115)*F43</f>
        <v>7356.366</v>
      </c>
      <c r="G50" s="67">
        <f>Assumptions!$B$115*G29+(1-Assumptions!$B$115)*G43</f>
        <v>3796.4480000000021</v>
      </c>
      <c r="H50" s="67">
        <f>Assumptions!$B$115*H29+(1-Assumptions!$B$115)*H43</f>
        <v>8979.74</v>
      </c>
      <c r="I50" s="67">
        <f>Assumptions!$B$115*I29+(1-Assumptions!$B$115)*I43</f>
        <v>1570.9700000000012</v>
      </c>
      <c r="J50" s="67">
        <f>Assumptions!$B$115*J29+(1-Assumptions!$B$115)*J43</f>
        <v>5817.5399999999991</v>
      </c>
      <c r="K50" s="67">
        <f>Assumptions!$B$115*K29+(1-Assumptions!$B$115)*K43</f>
        <v>1659.5999999999995</v>
      </c>
      <c r="L50" s="67">
        <f>Assumptions!$B$115*L29+(1-Assumptions!$B$115)*L43</f>
        <v>8979.74</v>
      </c>
      <c r="M50" s="67">
        <f>Assumptions!$B$115*M29+(1-Assumptions!$B$115)*M43</f>
        <v>-10205.6788</v>
      </c>
      <c r="N50" s="67">
        <f>Assumptions!$B$115*N29+(1-Assumptions!$B$115)*N43</f>
        <v>-7403.2011999999995</v>
      </c>
      <c r="O50" s="73" t="s">
        <v>245</v>
      </c>
    </row>
    <row r="51" spans="1:15" x14ac:dyDescent="0.3">
      <c r="A51" s="19" t="s">
        <v>730</v>
      </c>
      <c r="B51" s="66">
        <f t="shared" ref="B51:N51" si="12">IF(B50&lt;=0,"Never",B46/B50)</f>
        <v>5.0112809502279578</v>
      </c>
      <c r="C51" s="66" t="str">
        <f t="shared" si="12"/>
        <v>Never</v>
      </c>
      <c r="D51" s="66">
        <f t="shared" si="12"/>
        <v>6.6568480623246655</v>
      </c>
      <c r="E51" s="66">
        <f t="shared" si="12"/>
        <v>7.853759507412204</v>
      </c>
      <c r="F51" s="66">
        <f t="shared" si="12"/>
        <v>6.1171507779792362</v>
      </c>
      <c r="G51" s="66">
        <f t="shared" si="12"/>
        <v>11.8531848717538</v>
      </c>
      <c r="H51" s="66">
        <f t="shared" si="12"/>
        <v>7.795325922576823</v>
      </c>
      <c r="I51" s="66">
        <f t="shared" si="12"/>
        <v>28.644722687256895</v>
      </c>
      <c r="J51" s="66">
        <f t="shared" si="12"/>
        <v>7.7352282923710032</v>
      </c>
      <c r="K51" s="66">
        <f t="shared" si="12"/>
        <v>27.114967462039054</v>
      </c>
      <c r="L51" s="66">
        <f t="shared" si="12"/>
        <v>5.0112809502279578</v>
      </c>
      <c r="M51" s="66" t="str">
        <f t="shared" si="12"/>
        <v>Never</v>
      </c>
      <c r="N51" s="66" t="str">
        <f t="shared" si="12"/>
        <v>Never</v>
      </c>
      <c r="O51" s="73" t="s">
        <v>262</v>
      </c>
    </row>
    <row r="52" spans="1:15" x14ac:dyDescent="0.3">
      <c r="A52" s="40" t="s">
        <v>731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</row>
    <row r="53" spans="1:15" x14ac:dyDescent="0.3">
      <c r="A53" s="19" t="s">
        <v>732</v>
      </c>
      <c r="B53" s="54">
        <f>B46*Assumptions!$B$31</f>
        <v>22500</v>
      </c>
      <c r="C53" s="54">
        <f>C46*Assumptions!$B$31</f>
        <v>35000</v>
      </c>
      <c r="D53" s="54">
        <f>D46*Assumptions!$B$31</f>
        <v>22500</v>
      </c>
      <c r="E53" s="54">
        <f>E46*Assumptions!$B$31</f>
        <v>22500</v>
      </c>
      <c r="F53" s="54">
        <f>F46*Assumptions!$B$31</f>
        <v>22500</v>
      </c>
      <c r="G53" s="54">
        <f>G46*Assumptions!$B$31</f>
        <v>22500</v>
      </c>
      <c r="H53" s="54">
        <f>H46*Assumptions!$B$31</f>
        <v>35000</v>
      </c>
      <c r="I53" s="54">
        <f>I46*Assumptions!$B$31</f>
        <v>22500</v>
      </c>
      <c r="J53" s="54">
        <f>J46*Assumptions!$B$31</f>
        <v>22500</v>
      </c>
      <c r="K53" s="54">
        <f>K46*Assumptions!$B$31</f>
        <v>22500</v>
      </c>
      <c r="L53" s="54">
        <f>L46*Assumptions!$B$31</f>
        <v>22500</v>
      </c>
      <c r="M53" s="54">
        <f>M46*Assumptions!$B$31</f>
        <v>35000</v>
      </c>
      <c r="N53" s="54">
        <f>N46*Assumptions!$B$31</f>
        <v>35000</v>
      </c>
      <c r="O53" s="73" t="s">
        <v>228</v>
      </c>
    </row>
    <row r="54" spans="1:15" x14ac:dyDescent="0.3">
      <c r="A54" s="19" t="s">
        <v>733</v>
      </c>
      <c r="B54" s="54">
        <f>MAX(0,B50)*Assumptions!$B$31</f>
        <v>4489.87</v>
      </c>
      <c r="C54" s="54">
        <f>MAX(0,C50)*Assumptions!$B$31</f>
        <v>0</v>
      </c>
      <c r="D54" s="54">
        <f>MAX(0,D50)*Assumptions!$B$31</f>
        <v>3379.9780000000001</v>
      </c>
      <c r="E54" s="54">
        <f>MAX(0,E50)*Assumptions!$B$31</f>
        <v>2864.87</v>
      </c>
      <c r="F54" s="54">
        <f>MAX(0,F50)*Assumptions!$B$31</f>
        <v>3678.183</v>
      </c>
      <c r="G54" s="54">
        <f>MAX(0,G50)*Assumptions!$B$31</f>
        <v>1898.2240000000011</v>
      </c>
      <c r="H54" s="54">
        <f>MAX(0,H50)*Assumptions!$B$31</f>
        <v>4489.87</v>
      </c>
      <c r="I54" s="54">
        <f>MAX(0,I50)*Assumptions!$B$31</f>
        <v>785.48500000000058</v>
      </c>
      <c r="J54" s="54">
        <f>MAX(0,J50)*Assumptions!$B$31</f>
        <v>2908.7699999999995</v>
      </c>
      <c r="K54" s="54">
        <f>MAX(0,K50)*Assumptions!$B$31</f>
        <v>829.79999999999973</v>
      </c>
      <c r="L54" s="54">
        <f>MAX(0,L50)*Assumptions!$B$31</f>
        <v>4489.87</v>
      </c>
      <c r="M54" s="54">
        <f>MAX(0,M50)*Assumptions!$B$31</f>
        <v>0</v>
      </c>
      <c r="N54" s="54">
        <f>MAX(0,N50)*Assumptions!$B$31</f>
        <v>0</v>
      </c>
      <c r="O54" s="73" t="s">
        <v>245</v>
      </c>
    </row>
    <row r="55" spans="1:15" x14ac:dyDescent="0.3">
      <c r="A55" s="19" t="s">
        <v>734</v>
      </c>
      <c r="B55" s="54">
        <f>B50*(1-Assumptions!$B$31)</f>
        <v>4489.87</v>
      </c>
      <c r="C55" s="54">
        <f>C50*(1-Assumptions!$B$31)</f>
        <v>-3701.6005999999998</v>
      </c>
      <c r="D55" s="54">
        <f>D50*(1-Assumptions!$B$31)</f>
        <v>3379.9780000000001</v>
      </c>
      <c r="E55" s="54">
        <f>E50*(1-Assumptions!$B$31)</f>
        <v>2864.87</v>
      </c>
      <c r="F55" s="54">
        <f>F50*(1-Assumptions!$B$31)</f>
        <v>3678.183</v>
      </c>
      <c r="G55" s="54">
        <f>G50*(1-Assumptions!$B$31)</f>
        <v>1898.2240000000011</v>
      </c>
      <c r="H55" s="54">
        <f>H50*(1-Assumptions!$B$31)</f>
        <v>4489.87</v>
      </c>
      <c r="I55" s="54">
        <f>I50*(1-Assumptions!$B$31)</f>
        <v>785.48500000000058</v>
      </c>
      <c r="J55" s="54">
        <f>J50*(1-Assumptions!$B$31)</f>
        <v>2908.7699999999995</v>
      </c>
      <c r="K55" s="54">
        <f>K50*(1-Assumptions!$B$31)</f>
        <v>829.79999999999973</v>
      </c>
      <c r="L55" s="54">
        <f>L50*(1-Assumptions!$B$31)</f>
        <v>4489.87</v>
      </c>
      <c r="M55" s="54">
        <f>M50*(1-Assumptions!$B$31)</f>
        <v>-5102.8393999999998</v>
      </c>
      <c r="N55" s="54">
        <f>N50*(1-Assumptions!$B$31)</f>
        <v>-3701.6005999999998</v>
      </c>
      <c r="O55" s="73" t="s">
        <v>245</v>
      </c>
    </row>
    <row r="56" spans="1:15" x14ac:dyDescent="0.3">
      <c r="A56" s="19" t="s">
        <v>735</v>
      </c>
      <c r="B56" s="54">
        <f>B54*(Assumptions!$B$132+Assumptions!$B$135*(Assumptions!$B$36+Assumptions!$B$133))</f>
        <v>4040.8829999999994</v>
      </c>
      <c r="C56" s="54">
        <f>C54*(Assumptions!$B$132+Assumptions!$B$135*(Assumptions!$B$36+Assumptions!$B$133))</f>
        <v>0</v>
      </c>
      <c r="D56" s="54">
        <f>D54*(Assumptions!$B$132+Assumptions!$B$135*(Assumptions!$B$36+Assumptions!$B$133))</f>
        <v>3041.9802</v>
      </c>
      <c r="E56" s="54">
        <f>E54*(Assumptions!$B$132+Assumptions!$B$135*(Assumptions!$B$36+Assumptions!$B$133))</f>
        <v>2578.3829999999998</v>
      </c>
      <c r="F56" s="54">
        <f>F54*(Assumptions!$B$132+Assumptions!$B$135*(Assumptions!$B$36+Assumptions!$B$133))</f>
        <v>3310.3646999999996</v>
      </c>
      <c r="G56" s="54">
        <f>G54*(Assumptions!$B$132+Assumptions!$B$135*(Assumptions!$B$36+Assumptions!$B$133))</f>
        <v>1708.4016000000008</v>
      </c>
      <c r="H56" s="54">
        <f>H54*(Assumptions!$B$132+Assumptions!$B$135*(Assumptions!$B$36+Assumptions!$B$133))</f>
        <v>4040.8829999999994</v>
      </c>
      <c r="I56" s="54">
        <f>I54*(Assumptions!$B$132+Assumptions!$B$135*(Assumptions!$B$36+Assumptions!$B$133))</f>
        <v>706.93650000000048</v>
      </c>
      <c r="J56" s="54">
        <f>J54*(Assumptions!$B$132+Assumptions!$B$135*(Assumptions!$B$36+Assumptions!$B$133))</f>
        <v>2617.8929999999991</v>
      </c>
      <c r="K56" s="54">
        <f>K54*(Assumptions!$B$132+Assumptions!$B$135*(Assumptions!$B$36+Assumptions!$B$133))</f>
        <v>746.81999999999971</v>
      </c>
      <c r="L56" s="54">
        <f>L54*(Assumptions!$B$132+0*(Assumptions!$B$36+Assumptions!$B$133))</f>
        <v>3142.9089999999997</v>
      </c>
      <c r="M56" s="54">
        <f>M54*(Assumptions!$B$132+Assumptions!$B$135*(Assumptions!$B$36+Assumptions!$B$133))</f>
        <v>0</v>
      </c>
      <c r="N56" s="54">
        <f>N54*(Assumptions!$B$132+Assumptions!$B$135*(Assumptions!$B$36+Assumptions!$B$133))</f>
        <v>0</v>
      </c>
      <c r="O56" s="73" t="s">
        <v>245</v>
      </c>
    </row>
    <row r="57" spans="1:15" x14ac:dyDescent="0.3">
      <c r="A57" s="19" t="s">
        <v>736</v>
      </c>
      <c r="B57" s="54">
        <f>B54*Assumptions!$B$132</f>
        <v>3142.9089999999997</v>
      </c>
      <c r="C57" s="54">
        <f>C54*Assumptions!$B$132</f>
        <v>0</v>
      </c>
      <c r="D57" s="54">
        <f>D54*Assumptions!$B$132</f>
        <v>2365.9845999999998</v>
      </c>
      <c r="E57" s="54">
        <f>E54*Assumptions!$B$132</f>
        <v>2005.4089999999999</v>
      </c>
      <c r="F57" s="54">
        <f>F54*Assumptions!$B$132</f>
        <v>2574.7280999999998</v>
      </c>
      <c r="G57" s="54">
        <f>G54*Assumptions!$B$132</f>
        <v>1328.7568000000006</v>
      </c>
      <c r="H57" s="54">
        <f>H54*Assumptions!$B$132</f>
        <v>3142.9089999999997</v>
      </c>
      <c r="I57" s="54">
        <f>I54*Assumptions!$B$132</f>
        <v>549.83950000000038</v>
      </c>
      <c r="J57" s="54">
        <f>J54*Assumptions!$B$132</f>
        <v>2036.1389999999994</v>
      </c>
      <c r="K57" s="54">
        <f>K54*Assumptions!$B$132</f>
        <v>580.85999999999979</v>
      </c>
      <c r="L57" s="54">
        <f>L54*Assumptions!$B$132</f>
        <v>3142.9089999999997</v>
      </c>
      <c r="M57" s="54">
        <f>M54*Assumptions!$B$132</f>
        <v>0</v>
      </c>
      <c r="N57" s="54">
        <f>N54*Assumptions!$B$132</f>
        <v>0</v>
      </c>
      <c r="O57" s="73" t="s">
        <v>245</v>
      </c>
    </row>
    <row r="58" spans="1:15" x14ac:dyDescent="0.3">
      <c r="A58" s="19" t="s">
        <v>737</v>
      </c>
      <c r="B58" s="54">
        <f>B54*Assumptions!$B$36</f>
        <v>448.98700000000002</v>
      </c>
      <c r="C58" s="54">
        <f>C54*Assumptions!$B$36</f>
        <v>0</v>
      </c>
      <c r="D58" s="54">
        <f>D54*Assumptions!$B$36</f>
        <v>337.99780000000004</v>
      </c>
      <c r="E58" s="54">
        <f>E54*Assumptions!$B$36</f>
        <v>286.48700000000002</v>
      </c>
      <c r="F58" s="54">
        <f>F54*Assumptions!$B$36</f>
        <v>367.81830000000002</v>
      </c>
      <c r="G58" s="54">
        <f>G54*Assumptions!$B$36</f>
        <v>189.82240000000013</v>
      </c>
      <c r="H58" s="54">
        <f>H54*Assumptions!$B$36</f>
        <v>448.98700000000002</v>
      </c>
      <c r="I58" s="54">
        <f>I54*Assumptions!$B$36</f>
        <v>78.548500000000061</v>
      </c>
      <c r="J58" s="54">
        <f>J54*Assumptions!$B$36</f>
        <v>290.87699999999995</v>
      </c>
      <c r="K58" s="54">
        <f>K54*Assumptions!$B$36</f>
        <v>82.979999999999976</v>
      </c>
      <c r="L58" s="54">
        <f>L54*Assumptions!$B$36</f>
        <v>448.98700000000002</v>
      </c>
      <c r="M58" s="54">
        <f>M54*Assumptions!$B$36</f>
        <v>0</v>
      </c>
      <c r="N58" s="54">
        <f>N54*Assumptions!$B$36</f>
        <v>0</v>
      </c>
      <c r="O58" s="73" t="s">
        <v>245</v>
      </c>
    </row>
    <row r="59" spans="1:15" x14ac:dyDescent="0.3">
      <c r="A59" s="19" t="s">
        <v>738</v>
      </c>
      <c r="B59" s="54">
        <f>B54*Assumptions!$B$133</f>
        <v>448.98700000000002</v>
      </c>
      <c r="C59" s="54">
        <f>C54*Assumptions!$B$133</f>
        <v>0</v>
      </c>
      <c r="D59" s="54">
        <f>D54*Assumptions!$B$133</f>
        <v>337.99780000000004</v>
      </c>
      <c r="E59" s="54">
        <f>E54*Assumptions!$B$133</f>
        <v>286.48700000000002</v>
      </c>
      <c r="F59" s="54">
        <f>F54*Assumptions!$B$133</f>
        <v>367.81830000000002</v>
      </c>
      <c r="G59" s="54">
        <f>G54*Assumptions!$B$133</f>
        <v>189.82240000000013</v>
      </c>
      <c r="H59" s="54">
        <f>H54*Assumptions!$B$133</f>
        <v>448.98700000000002</v>
      </c>
      <c r="I59" s="54">
        <f>I54*Assumptions!$B$133</f>
        <v>78.548500000000061</v>
      </c>
      <c r="J59" s="54">
        <f>J54*Assumptions!$B$133</f>
        <v>290.87699999999995</v>
      </c>
      <c r="K59" s="54">
        <f>K54*Assumptions!$B$133</f>
        <v>82.979999999999976</v>
      </c>
      <c r="L59" s="54">
        <f>L54*Assumptions!$B$133</f>
        <v>448.98700000000002</v>
      </c>
      <c r="M59" s="54">
        <f>M54*Assumptions!$B$133</f>
        <v>0</v>
      </c>
      <c r="N59" s="54">
        <f>N54*Assumptions!$B$133</f>
        <v>0</v>
      </c>
      <c r="O59" s="73" t="s">
        <v>245</v>
      </c>
    </row>
    <row r="60" spans="1:15" x14ac:dyDescent="0.3">
      <c r="A60" s="19" t="s">
        <v>739</v>
      </c>
      <c r="B60" s="54">
        <f>B54*Assumptions!$B$134</f>
        <v>448.98700000000002</v>
      </c>
      <c r="C60" s="54">
        <f>C54*Assumptions!$B$134</f>
        <v>0</v>
      </c>
      <c r="D60" s="54">
        <f>D54*Assumptions!$B$134</f>
        <v>337.99780000000004</v>
      </c>
      <c r="E60" s="54">
        <f>E54*Assumptions!$B$134</f>
        <v>286.48700000000002</v>
      </c>
      <c r="F60" s="54">
        <f>F54*Assumptions!$B$134</f>
        <v>367.81830000000002</v>
      </c>
      <c r="G60" s="54">
        <f>G54*Assumptions!$B$134</f>
        <v>189.82240000000013</v>
      </c>
      <c r="H60" s="54">
        <f>H54*Assumptions!$B$134</f>
        <v>448.98700000000002</v>
      </c>
      <c r="I60" s="54">
        <f>I54*Assumptions!$B$134</f>
        <v>78.548500000000061</v>
      </c>
      <c r="J60" s="54">
        <f>J54*Assumptions!$B$134</f>
        <v>290.87699999999995</v>
      </c>
      <c r="K60" s="54">
        <f>K54*Assumptions!$B$134</f>
        <v>82.979999999999976</v>
      </c>
      <c r="L60" s="54">
        <f>L54*Assumptions!$B$134</f>
        <v>448.98700000000002</v>
      </c>
      <c r="M60" s="54">
        <f>M54*Assumptions!$B$134</f>
        <v>0</v>
      </c>
      <c r="N60" s="54">
        <f>N54*Assumptions!$B$134</f>
        <v>0</v>
      </c>
      <c r="O60" s="73" t="s">
        <v>245</v>
      </c>
    </row>
    <row r="61" spans="1:15" x14ac:dyDescent="0.3">
      <c r="A61" s="40" t="s">
        <v>740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</row>
    <row r="62" spans="1:15" x14ac:dyDescent="0.3">
      <c r="A62" s="19" t="s">
        <v>741</v>
      </c>
      <c r="B62" s="66">
        <f>MAX(0,Assumptions!$B$75-B9)</f>
        <v>0</v>
      </c>
      <c r="C62" s="66">
        <f>MAX(0,Assumptions!$B$75-C9)</f>
        <v>33</v>
      </c>
      <c r="D62" s="66">
        <f>MAX(0,Assumptions!$B$75-D9)</f>
        <v>0</v>
      </c>
      <c r="E62" s="66">
        <f>MAX(0,Assumptions!$B$75-E9)</f>
        <v>0</v>
      </c>
      <c r="F62" s="66">
        <f>MAX(0,Assumptions!$B$75-F9)</f>
        <v>6</v>
      </c>
      <c r="G62" s="66">
        <f>MAX(0,Assumptions!$B$75-G9)</f>
        <v>0</v>
      </c>
      <c r="H62" s="66">
        <f>MAX(0,Assumptions!$B$75-H9)</f>
        <v>0</v>
      </c>
      <c r="I62" s="66">
        <f>MAX(0,Assumptions!$B$75-I9)</f>
        <v>30</v>
      </c>
      <c r="J62" s="66">
        <f>MAX(0,Assumptions!$B$75-J9)</f>
        <v>0</v>
      </c>
      <c r="K62" s="66">
        <f>MAX(0,Assumptions!$B$75-K9)</f>
        <v>0</v>
      </c>
      <c r="L62" s="66">
        <f>MAX(0,Assumptions!$B$75-L9)</f>
        <v>0</v>
      </c>
      <c r="M62" s="66">
        <f>MAX(0,Assumptions!$B$75-M9)</f>
        <v>42</v>
      </c>
      <c r="N62" s="66">
        <f>MAX(0,Assumptions!$B$75-N9)</f>
        <v>33</v>
      </c>
      <c r="O62" s="73" t="s">
        <v>292</v>
      </c>
    </row>
    <row r="63" spans="1:15" x14ac:dyDescent="0.3">
      <c r="A63" s="19" t="s">
        <v>742</v>
      </c>
      <c r="B63" s="80">
        <f>Assumptions!$B$115*(($B$11)*(1-Assumptions!$B$33)-$B$13)+(1-Assumptions!$B$115)*(($B$12)*(1-Assumptions!$B$33)-$B$13)</f>
        <v>0.67659999999999998</v>
      </c>
      <c r="C63" s="80">
        <f>Assumptions!$B$115*(($B$11)*(1-Assumptions!$B$33)-$B$13)+(1-Assumptions!$B$115)*(($B$12)*(1-Assumptions!$B$33)-$B$13)</f>
        <v>0.67659999999999998</v>
      </c>
      <c r="D63" s="80">
        <f>Assumptions!$B$115*(($B$11)*(1-Assumptions!$B$33)-$B$13)+(1-Assumptions!$B$115)*(($B$12)*(1-Assumptions!$B$33)-$B$13)</f>
        <v>0.67659999999999998</v>
      </c>
      <c r="E63" s="80">
        <f>Assumptions!$B$115*(($B$11)*(1-Assumptions!$B$33)-$B$13)+(1-Assumptions!$B$115)*(($B$12)*(1-Assumptions!$B$33)-$B$13)</f>
        <v>0.67659999999999998</v>
      </c>
      <c r="F63" s="80">
        <f>Assumptions!$B$115*(($B$11)*(1-Assumptions!$B$33)-$B$13)+(1-Assumptions!$B$115)*(($B$12)*(1-Assumptions!$B$33)-$B$13)</f>
        <v>0.67659999999999998</v>
      </c>
      <c r="G63" s="80">
        <f>Assumptions!$B$115*(($B$11)*(1-Assumptions!$B$33)-$B$13)+(1-Assumptions!$B$115)*(($B$12)*(1-Assumptions!$B$33)-$B$13)</f>
        <v>0.67659999999999998</v>
      </c>
      <c r="H63" s="80">
        <f>Assumptions!$B$115*(($B$11)*(1-Assumptions!$B$33)-$B$13)+(1-Assumptions!$B$115)*(($B$12)*(1-Assumptions!$B$33)-$B$13)</f>
        <v>0.67659999999999998</v>
      </c>
      <c r="I63" s="80">
        <f>Assumptions!$B$115*(($B$11)*(1-Assumptions!$B$33)-$B$13)+(1-Assumptions!$B$115)*(($B$12)*(1-Assumptions!$B$33)-$B$13)</f>
        <v>0.67659999999999998</v>
      </c>
      <c r="J63" s="80">
        <f>Assumptions!$B$115*(($B$11)*(1-Assumptions!$B$33)-$B$13)+(1-Assumptions!$B$115)*(($B$12)*(1-Assumptions!$B$33)-$B$13)</f>
        <v>0.67659999999999998</v>
      </c>
      <c r="K63" s="80">
        <f>Assumptions!$B$115*(($B$11)*(1-Assumptions!$B$33)-$B$13)+(1-Assumptions!$B$115)*(($B$12)*(1-Assumptions!$B$33)-$B$13)</f>
        <v>0.67659999999999998</v>
      </c>
      <c r="L63" s="80">
        <f>Assumptions!$B$115*(($B$11)*(1-Assumptions!$B$33)-$B$13)+(1-Assumptions!$B$115)*(($B$12)*(1-Assumptions!$B$33)-$B$13)</f>
        <v>0.67659999999999998</v>
      </c>
      <c r="M63" s="80">
        <f>Assumptions!$B$115*(($B$11)*(1-Assumptions!$B$33)-$B$13)+(1-Assumptions!$B$115)*(($B$12)*(1-Assumptions!$B$33)-$B$13)</f>
        <v>0.67659999999999998</v>
      </c>
      <c r="N63" s="80">
        <f>Assumptions!$B$115*(($B$11)*(1-Assumptions!$B$33)-$B$13)+(1-Assumptions!$B$115)*(($B$12)*(1-Assumptions!$B$33)-$B$13)</f>
        <v>0.67659999999999998</v>
      </c>
      <c r="O63" s="73" t="s">
        <v>239</v>
      </c>
    </row>
    <row r="64" spans="1:15" x14ac:dyDescent="0.3">
      <c r="A64" s="19" t="s">
        <v>743</v>
      </c>
      <c r="B64" s="54">
        <f>365*B62*B63*Assumptions!$B$31*(Assumptions!$B$132+Assumptions!$B$135*(Assumptions!$B$36+Assumptions!$B$133))*1</f>
        <v>0</v>
      </c>
      <c r="C64" s="54">
        <f>365*C62*C63*Assumptions!$B$31*(Assumptions!$B$132+Assumptions!$B$135*(Assumptions!$B$36+Assumptions!$B$133))*1</f>
        <v>3667.3411499999997</v>
      </c>
      <c r="D64" s="54">
        <f>365*D62*D63*Assumptions!$B$31*(Assumptions!$B$132+Assumptions!$B$135*(Assumptions!$B$36+Assumptions!$B$133))*1</f>
        <v>0</v>
      </c>
      <c r="E64" s="54">
        <f>365*E62*E63*Assumptions!$B$31*(Assumptions!$B$132+Assumptions!$B$135*(Assumptions!$B$36+Assumptions!$B$133))*1</f>
        <v>0</v>
      </c>
      <c r="F64" s="54">
        <f>365*F62*F63*Assumptions!$B$31*(Assumptions!$B$132+Assumptions!$B$135*(Assumptions!$B$36+Assumptions!$B$133))*1</f>
        <v>666.78929999999991</v>
      </c>
      <c r="G64" s="54">
        <f>365*G62*G63*Assumptions!$B$31*(Assumptions!$B$132+Assumptions!$B$135*(Assumptions!$B$36+Assumptions!$B$133))*1</f>
        <v>0</v>
      </c>
      <c r="H64" s="54">
        <f>365*H62*H63*Assumptions!$B$31*(Assumptions!$B$132+Assumptions!$B$135*(Assumptions!$B$36+Assumptions!$B$133))*1</f>
        <v>0</v>
      </c>
      <c r="I64" s="54">
        <f>365*I62*I63*Assumptions!$B$31*(Assumptions!$B$132+Assumptions!$B$135*(Assumptions!$B$36+Assumptions!$B$133))*1</f>
        <v>3333.9464999999996</v>
      </c>
      <c r="J64" s="54">
        <f>365*J62*J63*Assumptions!$B$31*(Assumptions!$B$132+Assumptions!$B$135*(Assumptions!$B$36+Assumptions!$B$133))*1</f>
        <v>0</v>
      </c>
      <c r="K64" s="54">
        <f>365*K62*K63*Assumptions!$B$31*(Assumptions!$B$132+Assumptions!$B$135*(Assumptions!$B$36+Assumptions!$B$133))*1</f>
        <v>0</v>
      </c>
      <c r="L64" s="54">
        <f>365*L62*L63*Assumptions!$B$31*(Assumptions!$B$132+0*(Assumptions!$B$36+Assumptions!$B$133))*1</f>
        <v>0</v>
      </c>
      <c r="M64" s="54">
        <f>365*M62*M63*Assumptions!$B$31*(Assumptions!$B$132+Assumptions!$B$135*(Assumptions!$B$36+Assumptions!$B$133))*1</f>
        <v>4667.5250999999998</v>
      </c>
      <c r="N64" s="54">
        <f>365*N62*N63*Assumptions!$B$31*(Assumptions!$B$132+Assumptions!$B$135*(Assumptions!$B$36+Assumptions!$B$133))*0</f>
        <v>0</v>
      </c>
      <c r="O64" s="73" t="s">
        <v>245</v>
      </c>
    </row>
    <row r="65" spans="1:15" x14ac:dyDescent="0.3">
      <c r="A65" s="26" t="s">
        <v>744</v>
      </c>
      <c r="B65" s="68">
        <f>MIN(Assumptions!$B$140,B64)*(1-(1-1)*Assumptions!$B$139)</f>
        <v>0</v>
      </c>
      <c r="C65" s="68">
        <f>MIN(Assumptions!$B$140,C64)*(1-(1-1)*Assumptions!$B$139)</f>
        <v>3000</v>
      </c>
      <c r="D65" s="68">
        <f>MIN(Assumptions!$B$140,D64)*(1-(1-1)*Assumptions!$B$139)</f>
        <v>0</v>
      </c>
      <c r="E65" s="68">
        <f>MIN(Assumptions!$B$140,E64)*(1-(1-1)*Assumptions!$B$139)</f>
        <v>0</v>
      </c>
      <c r="F65" s="68">
        <f>MIN(Assumptions!$B$140,F64)*(1-(1-1)*Assumptions!$B$139)</f>
        <v>666.78929999999991</v>
      </c>
      <c r="G65" s="68">
        <f>MIN(Assumptions!$B$140,G64)*(1-(1-1)*Assumptions!$B$139)</f>
        <v>0</v>
      </c>
      <c r="H65" s="68">
        <f>MIN(Assumptions!$B$140,H64)*(1-(1-1)*Assumptions!$B$139)</f>
        <v>0</v>
      </c>
      <c r="I65" s="68">
        <f>MIN(Assumptions!$B$140,I64)*(1-(1-1)*Assumptions!$B$139)</f>
        <v>3000</v>
      </c>
      <c r="J65" s="68">
        <f>MIN(Assumptions!$B$140,J64)*(1-(1-1)*Assumptions!$B$139)</f>
        <v>0</v>
      </c>
      <c r="K65" s="68">
        <f>MIN(Assumptions!$B$140,K64)*(1-(1-1)*Assumptions!$B$139)</f>
        <v>0</v>
      </c>
      <c r="L65" s="68">
        <f>MIN(Assumptions!$B$140,L64)*(1-(1-1)*Assumptions!$B$139)</f>
        <v>0</v>
      </c>
      <c r="M65" s="68">
        <f>MIN(Assumptions!$B$140,M64)*(1-(1-0)*Assumptions!$B$139)</f>
        <v>1980.0000000000005</v>
      </c>
      <c r="N65" s="68">
        <f>MIN(Assumptions!$B$140,N64)*(1-(1-1)*Assumptions!$B$139)</f>
        <v>0</v>
      </c>
      <c r="O65" s="73" t="s">
        <v>245</v>
      </c>
    </row>
    <row r="66" spans="1:15" x14ac:dyDescent="0.3">
      <c r="A66" s="19" t="s">
        <v>745</v>
      </c>
      <c r="B66" s="54">
        <f>MIN(Assumptions!$B$140,B64)*Assumptions!$B$76</f>
        <v>0</v>
      </c>
      <c r="C66" s="54">
        <f>MIN(Assumptions!$B$140,C64)*Assumptions!$B$76</f>
        <v>990</v>
      </c>
      <c r="D66" s="54">
        <f>MIN(Assumptions!$B$140,D64)*Assumptions!$B$76</f>
        <v>0</v>
      </c>
      <c r="E66" s="54">
        <f>MIN(Assumptions!$B$140,E64)*Assumptions!$B$76</f>
        <v>0</v>
      </c>
      <c r="F66" s="54">
        <f>MIN(Assumptions!$B$140,F64)*Assumptions!$B$76</f>
        <v>220.04046899999997</v>
      </c>
      <c r="G66" s="54">
        <f>MIN(Assumptions!$B$140,G64)*Assumptions!$B$76</f>
        <v>0</v>
      </c>
      <c r="H66" s="54">
        <f>MIN(Assumptions!$B$140,H64)*Assumptions!$B$76</f>
        <v>0</v>
      </c>
      <c r="I66" s="54">
        <f>MIN(Assumptions!$B$140,I64)*Assumptions!$B$76</f>
        <v>990</v>
      </c>
      <c r="J66" s="54">
        <f>MIN(Assumptions!$B$140,J64)*Assumptions!$B$76</f>
        <v>0</v>
      </c>
      <c r="K66" s="54">
        <f>MIN(Assumptions!$B$140,K64)*Assumptions!$B$76</f>
        <v>0</v>
      </c>
      <c r="L66" s="54">
        <f>MIN(Assumptions!$B$140,L64)*Assumptions!$B$76</f>
        <v>0</v>
      </c>
      <c r="M66" s="54">
        <f>MIN(Assumptions!$B$140,M64)*Assumptions!$B$76</f>
        <v>990</v>
      </c>
      <c r="N66" s="54">
        <f>MIN(Assumptions!$B$140,N64)*Assumptions!$B$76</f>
        <v>0</v>
      </c>
      <c r="O66" s="73" t="s">
        <v>245</v>
      </c>
    </row>
    <row r="67" spans="1:15" x14ac:dyDescent="0.3">
      <c r="A67" s="19" t="s">
        <v>746</v>
      </c>
      <c r="B67" s="54">
        <f>MIN(Assumptions!$B$140,B64)*Assumptions!$B$138</f>
        <v>0</v>
      </c>
      <c r="C67" s="54">
        <f>MIN(Assumptions!$B$140,C64)*Assumptions!$B$138</f>
        <v>990</v>
      </c>
      <c r="D67" s="54">
        <f>MIN(Assumptions!$B$140,D64)*Assumptions!$B$138</f>
        <v>0</v>
      </c>
      <c r="E67" s="54">
        <f>MIN(Assumptions!$B$140,E64)*Assumptions!$B$138</f>
        <v>0</v>
      </c>
      <c r="F67" s="54">
        <f>MIN(Assumptions!$B$140,F64)*Assumptions!$B$138</f>
        <v>220.04046899999997</v>
      </c>
      <c r="G67" s="54">
        <f>MIN(Assumptions!$B$140,G64)*Assumptions!$B$138</f>
        <v>0</v>
      </c>
      <c r="H67" s="54">
        <f>MIN(Assumptions!$B$140,H64)*Assumptions!$B$138</f>
        <v>0</v>
      </c>
      <c r="I67" s="54">
        <f>MIN(Assumptions!$B$140,I64)*Assumptions!$B$138</f>
        <v>990</v>
      </c>
      <c r="J67" s="54">
        <f>MIN(Assumptions!$B$140,J64)*Assumptions!$B$138</f>
        <v>0</v>
      </c>
      <c r="K67" s="54">
        <f>MIN(Assumptions!$B$140,K64)*Assumptions!$B$138</f>
        <v>0</v>
      </c>
      <c r="L67" s="54">
        <f>MIN(Assumptions!$B$140,L64)*Assumptions!$B$138</f>
        <v>0</v>
      </c>
      <c r="M67" s="54">
        <f>MIN(Assumptions!$B$140,M64)*Assumptions!$B$138</f>
        <v>990</v>
      </c>
      <c r="N67" s="54">
        <f>MIN(Assumptions!$B$140,N64)*Assumptions!$B$138</f>
        <v>0</v>
      </c>
      <c r="O67" s="73" t="s">
        <v>245</v>
      </c>
    </row>
    <row r="68" spans="1:15" x14ac:dyDescent="0.3">
      <c r="A68" s="19" t="s">
        <v>747</v>
      </c>
      <c r="B68" s="54">
        <f>MIN(Assumptions!$B$140,B64)*Assumptions!$B$139*1</f>
        <v>0</v>
      </c>
      <c r="C68" s="54">
        <f>MIN(Assumptions!$B$140,C64)*Assumptions!$B$139*1</f>
        <v>1019.9999999999998</v>
      </c>
      <c r="D68" s="54">
        <f>MIN(Assumptions!$B$140,D64)*Assumptions!$B$139*1</f>
        <v>0</v>
      </c>
      <c r="E68" s="54">
        <f>MIN(Assumptions!$B$140,E64)*Assumptions!$B$139*1</f>
        <v>0</v>
      </c>
      <c r="F68" s="54">
        <f>MIN(Assumptions!$B$140,F64)*Assumptions!$B$139*1</f>
        <v>226.70836199999991</v>
      </c>
      <c r="G68" s="54">
        <f>MIN(Assumptions!$B$140,G64)*Assumptions!$B$139*1</f>
        <v>0</v>
      </c>
      <c r="H68" s="54">
        <f>MIN(Assumptions!$B$140,H64)*Assumptions!$B$139*1</f>
        <v>0</v>
      </c>
      <c r="I68" s="54">
        <f>MIN(Assumptions!$B$140,I64)*Assumptions!$B$139*1</f>
        <v>1019.9999999999998</v>
      </c>
      <c r="J68" s="54">
        <f>MIN(Assumptions!$B$140,J64)*Assumptions!$B$139*1</f>
        <v>0</v>
      </c>
      <c r="K68" s="54">
        <f>MIN(Assumptions!$B$140,K64)*Assumptions!$B$139*1</f>
        <v>0</v>
      </c>
      <c r="L68" s="54">
        <f>MIN(Assumptions!$B$140,L64)*Assumptions!$B$139*1</f>
        <v>0</v>
      </c>
      <c r="M68" s="54">
        <f>MIN(Assumptions!$B$140,M64)*Assumptions!$B$139*0</f>
        <v>0</v>
      </c>
      <c r="N68" s="54">
        <f>MIN(Assumptions!$B$140,N64)*Assumptions!$B$139*1</f>
        <v>0</v>
      </c>
      <c r="O68" s="73" t="s">
        <v>245</v>
      </c>
    </row>
    <row r="69" spans="1:15" x14ac:dyDescent="0.3">
      <c r="A69" s="40" t="s">
        <v>748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</row>
    <row r="70" spans="1:15" x14ac:dyDescent="0.3">
      <c r="A70" s="19" t="s">
        <v>749</v>
      </c>
      <c r="B70" s="79">
        <f t="shared" ref="B70:N70" si="13">(B56+B65)/B53*1000</f>
        <v>179.59479999999996</v>
      </c>
      <c r="C70" s="79">
        <f t="shared" si="13"/>
        <v>85.714285714285708</v>
      </c>
      <c r="D70" s="79">
        <f t="shared" si="13"/>
        <v>135.19911999999999</v>
      </c>
      <c r="E70" s="79">
        <f t="shared" si="13"/>
        <v>114.59479999999999</v>
      </c>
      <c r="F70" s="79">
        <f t="shared" si="13"/>
        <v>176.76239999999999</v>
      </c>
      <c r="G70" s="79">
        <f t="shared" si="13"/>
        <v>75.928960000000032</v>
      </c>
      <c r="H70" s="79">
        <f t="shared" si="13"/>
        <v>115.45379999999999</v>
      </c>
      <c r="I70" s="79">
        <f t="shared" si="13"/>
        <v>164.75273333333337</v>
      </c>
      <c r="J70" s="79">
        <f t="shared" si="13"/>
        <v>116.35079999999996</v>
      </c>
      <c r="K70" s="79">
        <f t="shared" si="13"/>
        <v>33.191999999999986</v>
      </c>
      <c r="L70" s="79">
        <f t="shared" si="13"/>
        <v>139.68484444444442</v>
      </c>
      <c r="M70" s="79">
        <f t="shared" si="13"/>
        <v>56.571428571428584</v>
      </c>
      <c r="N70" s="79">
        <f t="shared" si="13"/>
        <v>0</v>
      </c>
      <c r="O70" s="73" t="s">
        <v>245</v>
      </c>
    </row>
    <row r="71" spans="1:15" x14ac:dyDescent="0.3">
      <c r="A71" s="19" t="s">
        <v>750</v>
      </c>
      <c r="B71" s="79">
        <f t="shared" ref="B71:N71" si="14">(B57+B65)/B53*1000</f>
        <v>139.68484444444442</v>
      </c>
      <c r="C71" s="79">
        <f t="shared" si="14"/>
        <v>85.714285714285708</v>
      </c>
      <c r="D71" s="79">
        <f t="shared" si="14"/>
        <v>105.15487111111111</v>
      </c>
      <c r="E71" s="79">
        <f t="shared" si="14"/>
        <v>89.12928888888888</v>
      </c>
      <c r="F71" s="79">
        <f t="shared" si="14"/>
        <v>144.06744</v>
      </c>
      <c r="G71" s="79">
        <f t="shared" si="14"/>
        <v>59.055857777777803</v>
      </c>
      <c r="H71" s="79">
        <f t="shared" si="14"/>
        <v>89.797399999999982</v>
      </c>
      <c r="I71" s="79">
        <f t="shared" si="14"/>
        <v>157.77064444444446</v>
      </c>
      <c r="J71" s="79">
        <f t="shared" si="14"/>
        <v>90.495066666666631</v>
      </c>
      <c r="K71" s="79">
        <f t="shared" si="14"/>
        <v>25.815999999999992</v>
      </c>
      <c r="L71" s="79">
        <f t="shared" si="14"/>
        <v>139.68484444444442</v>
      </c>
      <c r="M71" s="79">
        <f t="shared" si="14"/>
        <v>56.571428571428584</v>
      </c>
      <c r="N71" s="79">
        <f t="shared" si="14"/>
        <v>0</v>
      </c>
      <c r="O71" s="73" t="s">
        <v>245</v>
      </c>
    </row>
    <row r="72" spans="1:15" x14ac:dyDescent="0.3">
      <c r="A72" s="19" t="s">
        <v>751</v>
      </c>
      <c r="B72" s="79">
        <f>B60*Assumptions!$B$137*Assumptions!$B$136/B53*1000</f>
        <v>69.842422222222226</v>
      </c>
      <c r="C72" s="79">
        <f>C60*Assumptions!$B$137*Assumptions!$B$136/C53*1000</f>
        <v>0</v>
      </c>
      <c r="D72" s="79">
        <f>D60*Assumptions!$B$137*Assumptions!$B$136/D53*1000</f>
        <v>52.57743555555556</v>
      </c>
      <c r="E72" s="79">
        <f>E60*Assumptions!$B$137*Assumptions!$B$136/E53*1000</f>
        <v>44.564644444444447</v>
      </c>
      <c r="F72" s="79">
        <f>F60*Assumptions!$B$137*Assumptions!$B$136/F53*1000</f>
        <v>57.216180000000008</v>
      </c>
      <c r="G72" s="79">
        <f>G60*Assumptions!$B$137*Assumptions!$B$136/G53*1000</f>
        <v>29.527928888888912</v>
      </c>
      <c r="H72" s="79">
        <f>H60*Assumptions!$B$137*Assumptions!$B$136/H53*1000</f>
        <v>44.898699999999998</v>
      </c>
      <c r="I72" s="79">
        <f>I60*Assumptions!$B$137*Assumptions!$B$136/I53*1000</f>
        <v>12.218655555555564</v>
      </c>
      <c r="J72" s="79">
        <f>J60*Assumptions!$B$137*Assumptions!$B$136/J53*1000</f>
        <v>45.247533333333323</v>
      </c>
      <c r="K72" s="79">
        <f>K60*Assumptions!$B$137*Assumptions!$B$136/K53*1000</f>
        <v>12.907999999999996</v>
      </c>
      <c r="L72" s="79">
        <f>L60*Assumptions!$B$137*Assumptions!$B$136/L53*1000</f>
        <v>69.842422222222226</v>
      </c>
      <c r="M72" s="79">
        <f>M60*Assumptions!$B$137*Assumptions!$B$136/M53*1000</f>
        <v>0</v>
      </c>
      <c r="N72" s="79">
        <f>N60*Assumptions!$B$137*Assumptions!$B$136/N53*1000</f>
        <v>0</v>
      </c>
      <c r="O72" s="73" t="s">
        <v>228</v>
      </c>
    </row>
    <row r="73" spans="1:15" x14ac:dyDescent="0.3">
      <c r="A73" s="19" t="s">
        <v>752</v>
      </c>
      <c r="B73" s="66">
        <f t="shared" ref="B73:N73" si="15">IF(B70&lt;=0,99,1000/B70)</f>
        <v>5.5680899446977321</v>
      </c>
      <c r="C73" s="66">
        <f t="shared" si="15"/>
        <v>11.666666666666668</v>
      </c>
      <c r="D73" s="66">
        <f t="shared" si="15"/>
        <v>7.3964978470274074</v>
      </c>
      <c r="E73" s="66">
        <f t="shared" si="15"/>
        <v>8.7263994526802264</v>
      </c>
      <c r="F73" s="66">
        <f t="shared" si="15"/>
        <v>5.6573117359800502</v>
      </c>
      <c r="G73" s="66">
        <f t="shared" si="15"/>
        <v>13.170205413059781</v>
      </c>
      <c r="H73" s="66">
        <f t="shared" si="15"/>
        <v>8.6614732473075815</v>
      </c>
      <c r="I73" s="66">
        <f t="shared" si="15"/>
        <v>6.0697020302343985</v>
      </c>
      <c r="J73" s="66">
        <f t="shared" si="15"/>
        <v>8.5946981026344496</v>
      </c>
      <c r="K73" s="66">
        <f t="shared" si="15"/>
        <v>30.12774162448784</v>
      </c>
      <c r="L73" s="66">
        <f t="shared" si="15"/>
        <v>7.1589727860399401</v>
      </c>
      <c r="M73" s="66">
        <f t="shared" si="15"/>
        <v>17.676767676767675</v>
      </c>
      <c r="N73" s="66">
        <f t="shared" si="15"/>
        <v>99</v>
      </c>
      <c r="O73" s="73" t="s">
        <v>262</v>
      </c>
    </row>
    <row r="74" spans="1:15" x14ac:dyDescent="0.3">
      <c r="A74" s="19" t="s">
        <v>753</v>
      </c>
      <c r="B74" s="79">
        <f t="shared" ref="B74:N74" si="16">-1000</f>
        <v>-1000</v>
      </c>
      <c r="C74" s="79">
        <f t="shared" si="16"/>
        <v>-1000</v>
      </c>
      <c r="D74" s="79">
        <f t="shared" si="16"/>
        <v>-1000</v>
      </c>
      <c r="E74" s="79">
        <f t="shared" si="16"/>
        <v>-1000</v>
      </c>
      <c r="F74" s="79">
        <f t="shared" si="16"/>
        <v>-1000</v>
      </c>
      <c r="G74" s="79">
        <f t="shared" si="16"/>
        <v>-1000</v>
      </c>
      <c r="H74" s="79">
        <f t="shared" si="16"/>
        <v>-1000</v>
      </c>
      <c r="I74" s="79">
        <f t="shared" si="16"/>
        <v>-1000</v>
      </c>
      <c r="J74" s="79">
        <f t="shared" si="16"/>
        <v>-1000</v>
      </c>
      <c r="K74" s="79">
        <f t="shared" si="16"/>
        <v>-1000</v>
      </c>
      <c r="L74" s="79">
        <f t="shared" si="16"/>
        <v>-1000</v>
      </c>
      <c r="M74" s="79">
        <f t="shared" si="16"/>
        <v>-1000</v>
      </c>
      <c r="N74" s="79">
        <f t="shared" si="16"/>
        <v>-1000</v>
      </c>
      <c r="O74" s="73"/>
    </row>
    <row r="75" spans="1:15" x14ac:dyDescent="0.3">
      <c r="A75" s="19" t="s">
        <v>565</v>
      </c>
      <c r="B75" s="79">
        <f>IF(1&gt;Assumptions!$B$137,0,IF(0&lt;1000,B70,B71)+IF(1=Assumptions!$B$137,B72,0))</f>
        <v>179.59479999999996</v>
      </c>
      <c r="C75" s="79">
        <f>IF(1&gt;Assumptions!$B$137,0,IF(0&lt;1000,C70,C71)+IF(1=Assumptions!$B$137,C72,0))</f>
        <v>85.714285714285708</v>
      </c>
      <c r="D75" s="79">
        <f>IF(1&gt;Assumptions!$B$137,0,IF(0&lt;1000,D70,D71)+IF(1=Assumptions!$B$137,D72,0))</f>
        <v>135.19911999999999</v>
      </c>
      <c r="E75" s="79">
        <f>IF(1&gt;Assumptions!$B$137,0,IF(0&lt;1000,E70,E71)+IF(1=Assumptions!$B$137,E72,0))</f>
        <v>114.59479999999999</v>
      </c>
      <c r="F75" s="79">
        <f>IF(1&gt;Assumptions!$B$137,0,IF(0&lt;1000,F70,F71)+IF(1=Assumptions!$B$137,F72,0))</f>
        <v>176.76239999999999</v>
      </c>
      <c r="G75" s="79">
        <f>IF(1&gt;Assumptions!$B$137,0,IF(0&lt;1000,G70,G71)+IF(1=Assumptions!$B$137,G72,0))</f>
        <v>75.928960000000032</v>
      </c>
      <c r="H75" s="79">
        <f>IF(1&gt;Assumptions!$B$137,0,IF(0&lt;1000,H70,H71)+IF(1=Assumptions!$B$137,H72,0))</f>
        <v>115.45379999999999</v>
      </c>
      <c r="I75" s="79">
        <f>IF(1&gt;Assumptions!$B$137,0,IF(0&lt;1000,I70,I71)+IF(1=Assumptions!$B$137,I72,0))</f>
        <v>164.75273333333337</v>
      </c>
      <c r="J75" s="79">
        <f>IF(1&gt;Assumptions!$B$137,0,IF(0&lt;1000,J70,J71)+IF(1=Assumptions!$B$137,J72,0))</f>
        <v>116.35079999999996</v>
      </c>
      <c r="K75" s="79">
        <f>IF(1&gt;Assumptions!$B$137,0,IF(0&lt;1000,K70,K71)+IF(1=Assumptions!$B$137,K72,0))</f>
        <v>33.191999999999986</v>
      </c>
      <c r="L75" s="79">
        <f>IF(1&gt;Assumptions!$B$137,0,IF(0&lt;1000,L70,L71)+IF(1=Assumptions!$B$137,L72,0))</f>
        <v>139.68484444444442</v>
      </c>
      <c r="M75" s="79">
        <f>IF(1&gt;Assumptions!$B$137,0,IF(0&lt;1000,M70,M71)+IF(1=Assumptions!$B$137,M72,0))</f>
        <v>56.571428571428584</v>
      </c>
      <c r="N75" s="79">
        <f>IF(1&gt;Assumptions!$B$137,0,IF(0&lt;1000,N70,N71)+IF(1=Assumptions!$B$137,N72,0))</f>
        <v>0</v>
      </c>
      <c r="O75" s="73"/>
    </row>
    <row r="76" spans="1:15" x14ac:dyDescent="0.3">
      <c r="A76" s="19" t="s">
        <v>566</v>
      </c>
      <c r="B76" s="79">
        <f>IF(2&gt;Assumptions!$B$137,0,IF(SUM(B75:B75)&lt;1000,B70,B71)+IF(2=Assumptions!$B$137,B72,0))</f>
        <v>179.59479999999996</v>
      </c>
      <c r="C76" s="79">
        <f>IF(2&gt;Assumptions!$B$137,0,IF(SUM(C75:C75)&lt;1000,C70,C71)+IF(2=Assumptions!$B$137,C72,0))</f>
        <v>85.714285714285708</v>
      </c>
      <c r="D76" s="79">
        <f>IF(2&gt;Assumptions!$B$137,0,IF(SUM(D75:D75)&lt;1000,D70,D71)+IF(2=Assumptions!$B$137,D72,0))</f>
        <v>135.19911999999999</v>
      </c>
      <c r="E76" s="79">
        <f>IF(2&gt;Assumptions!$B$137,0,IF(SUM(E75:E75)&lt;1000,E70,E71)+IF(2=Assumptions!$B$137,E72,0))</f>
        <v>114.59479999999999</v>
      </c>
      <c r="F76" s="79">
        <f>IF(2&gt;Assumptions!$B$137,0,IF(SUM(F75:F75)&lt;1000,F70,F71)+IF(2=Assumptions!$B$137,F72,0))</f>
        <v>176.76239999999999</v>
      </c>
      <c r="G76" s="79">
        <f>IF(2&gt;Assumptions!$B$137,0,IF(SUM(G75:G75)&lt;1000,G70,G71)+IF(2=Assumptions!$B$137,G72,0))</f>
        <v>75.928960000000032</v>
      </c>
      <c r="H76" s="79">
        <f>IF(2&gt;Assumptions!$B$137,0,IF(SUM(H75:H75)&lt;1000,H70,H71)+IF(2=Assumptions!$B$137,H72,0))</f>
        <v>115.45379999999999</v>
      </c>
      <c r="I76" s="79">
        <f>IF(2&gt;Assumptions!$B$137,0,IF(SUM(I75:I75)&lt;1000,I70,I71)+IF(2=Assumptions!$B$137,I72,0))</f>
        <v>164.75273333333337</v>
      </c>
      <c r="J76" s="79">
        <f>IF(2&gt;Assumptions!$B$137,0,IF(SUM(J75:J75)&lt;1000,J70,J71)+IF(2=Assumptions!$B$137,J72,0))</f>
        <v>116.35079999999996</v>
      </c>
      <c r="K76" s="79">
        <f>IF(2&gt;Assumptions!$B$137,0,IF(SUM(K75:K75)&lt;1000,K70,K71)+IF(2=Assumptions!$B$137,K72,0))</f>
        <v>33.191999999999986</v>
      </c>
      <c r="L76" s="79">
        <f>IF(2&gt;Assumptions!$B$137,0,IF(SUM(L75:L75)&lt;1000,L70,L71)+IF(2=Assumptions!$B$137,L72,0))</f>
        <v>139.68484444444442</v>
      </c>
      <c r="M76" s="79">
        <f>IF(2&gt;Assumptions!$B$137,0,IF(SUM(M75:M75)&lt;1000,M70,M71)+IF(2=Assumptions!$B$137,M72,0))</f>
        <v>56.571428571428584</v>
      </c>
      <c r="N76" s="79">
        <f>IF(2&gt;Assumptions!$B$137,0,IF(SUM(N75:N75)&lt;1000,N70,N71)+IF(2=Assumptions!$B$137,N72,0))</f>
        <v>0</v>
      </c>
      <c r="O76" s="73"/>
    </row>
    <row r="77" spans="1:15" x14ac:dyDescent="0.3">
      <c r="A77" s="19" t="s">
        <v>567</v>
      </c>
      <c r="B77" s="79">
        <f>IF(3&gt;Assumptions!$B$137,0,IF(SUM(B75:B76)&lt;1000,B70,B71)+IF(3=Assumptions!$B$137,B72,0))</f>
        <v>179.59479999999996</v>
      </c>
      <c r="C77" s="79">
        <f>IF(3&gt;Assumptions!$B$137,0,IF(SUM(C75:C76)&lt;1000,C70,C71)+IF(3=Assumptions!$B$137,C72,0))</f>
        <v>85.714285714285708</v>
      </c>
      <c r="D77" s="79">
        <f>IF(3&gt;Assumptions!$B$137,0,IF(SUM(D75:D76)&lt;1000,D70,D71)+IF(3=Assumptions!$B$137,D72,0))</f>
        <v>135.19911999999999</v>
      </c>
      <c r="E77" s="79">
        <f>IF(3&gt;Assumptions!$B$137,0,IF(SUM(E75:E76)&lt;1000,E70,E71)+IF(3=Assumptions!$B$137,E72,0))</f>
        <v>114.59479999999999</v>
      </c>
      <c r="F77" s="79">
        <f>IF(3&gt;Assumptions!$B$137,0,IF(SUM(F75:F76)&lt;1000,F70,F71)+IF(3=Assumptions!$B$137,F72,0))</f>
        <v>176.76239999999999</v>
      </c>
      <c r="G77" s="79">
        <f>IF(3&gt;Assumptions!$B$137,0,IF(SUM(G75:G76)&lt;1000,G70,G71)+IF(3=Assumptions!$B$137,G72,0))</f>
        <v>75.928960000000032</v>
      </c>
      <c r="H77" s="79">
        <f>IF(3&gt;Assumptions!$B$137,0,IF(SUM(H75:H76)&lt;1000,H70,H71)+IF(3=Assumptions!$B$137,H72,0))</f>
        <v>115.45379999999999</v>
      </c>
      <c r="I77" s="79">
        <f>IF(3&gt;Assumptions!$B$137,0,IF(SUM(I75:I76)&lt;1000,I70,I71)+IF(3=Assumptions!$B$137,I72,0))</f>
        <v>164.75273333333337</v>
      </c>
      <c r="J77" s="79">
        <f>IF(3&gt;Assumptions!$B$137,0,IF(SUM(J75:J76)&lt;1000,J70,J71)+IF(3=Assumptions!$B$137,J72,0))</f>
        <v>116.35079999999996</v>
      </c>
      <c r="K77" s="79">
        <f>IF(3&gt;Assumptions!$B$137,0,IF(SUM(K75:K76)&lt;1000,K70,K71)+IF(3=Assumptions!$B$137,K72,0))</f>
        <v>33.191999999999986</v>
      </c>
      <c r="L77" s="79">
        <f>IF(3&gt;Assumptions!$B$137,0,IF(SUM(L75:L76)&lt;1000,L70,L71)+IF(3=Assumptions!$B$137,L72,0))</f>
        <v>139.68484444444442</v>
      </c>
      <c r="M77" s="79">
        <f>IF(3&gt;Assumptions!$B$137,0,IF(SUM(M75:M76)&lt;1000,M70,M71)+IF(3=Assumptions!$B$137,M72,0))</f>
        <v>56.571428571428584</v>
      </c>
      <c r="N77" s="79">
        <f>IF(3&gt;Assumptions!$B$137,0,IF(SUM(N75:N76)&lt;1000,N70,N71)+IF(3=Assumptions!$B$137,N72,0))</f>
        <v>0</v>
      </c>
      <c r="O77" s="73"/>
    </row>
    <row r="78" spans="1:15" x14ac:dyDescent="0.3">
      <c r="A78" s="19" t="s">
        <v>568</v>
      </c>
      <c r="B78" s="79">
        <f>IF(4&gt;Assumptions!$B$137,0,IF(SUM(B75:B77)&lt;1000,B70,B71)+IF(4=Assumptions!$B$137,B72,0))</f>
        <v>179.59479999999996</v>
      </c>
      <c r="C78" s="79">
        <f>IF(4&gt;Assumptions!$B$137,0,IF(SUM(C75:C77)&lt;1000,C70,C71)+IF(4=Assumptions!$B$137,C72,0))</f>
        <v>85.714285714285708</v>
      </c>
      <c r="D78" s="79">
        <f>IF(4&gt;Assumptions!$B$137,0,IF(SUM(D75:D77)&lt;1000,D70,D71)+IF(4=Assumptions!$B$137,D72,0))</f>
        <v>135.19911999999999</v>
      </c>
      <c r="E78" s="79">
        <f>IF(4&gt;Assumptions!$B$137,0,IF(SUM(E75:E77)&lt;1000,E70,E71)+IF(4=Assumptions!$B$137,E72,0))</f>
        <v>114.59479999999999</v>
      </c>
      <c r="F78" s="79">
        <f>IF(4&gt;Assumptions!$B$137,0,IF(SUM(F75:F77)&lt;1000,F70,F71)+IF(4=Assumptions!$B$137,F72,0))</f>
        <v>176.76239999999999</v>
      </c>
      <c r="G78" s="79">
        <f>IF(4&gt;Assumptions!$B$137,0,IF(SUM(G75:G77)&lt;1000,G70,G71)+IF(4=Assumptions!$B$137,G72,0))</f>
        <v>75.928960000000032</v>
      </c>
      <c r="H78" s="79">
        <f>IF(4&gt;Assumptions!$B$137,0,IF(SUM(H75:H77)&lt;1000,H70,H71)+IF(4=Assumptions!$B$137,H72,0))</f>
        <v>115.45379999999999</v>
      </c>
      <c r="I78" s="79">
        <f>IF(4&gt;Assumptions!$B$137,0,IF(SUM(I75:I77)&lt;1000,I70,I71)+IF(4=Assumptions!$B$137,I72,0))</f>
        <v>164.75273333333337</v>
      </c>
      <c r="J78" s="79">
        <f>IF(4&gt;Assumptions!$B$137,0,IF(SUM(J75:J77)&lt;1000,J70,J71)+IF(4=Assumptions!$B$137,J72,0))</f>
        <v>116.35079999999996</v>
      </c>
      <c r="K78" s="79">
        <f>IF(4&gt;Assumptions!$B$137,0,IF(SUM(K75:K77)&lt;1000,K70,K71)+IF(4=Assumptions!$B$137,K72,0))</f>
        <v>33.191999999999986</v>
      </c>
      <c r="L78" s="79">
        <f>IF(4&gt;Assumptions!$B$137,0,IF(SUM(L75:L77)&lt;1000,L70,L71)+IF(4=Assumptions!$B$137,L72,0))</f>
        <v>139.68484444444442</v>
      </c>
      <c r="M78" s="79">
        <f>IF(4&gt;Assumptions!$B$137,0,IF(SUM(M75:M77)&lt;1000,M70,M71)+IF(4=Assumptions!$B$137,M72,0))</f>
        <v>56.571428571428584</v>
      </c>
      <c r="N78" s="79">
        <f>IF(4&gt;Assumptions!$B$137,0,IF(SUM(N75:N77)&lt;1000,N70,N71)+IF(4=Assumptions!$B$137,N72,0))</f>
        <v>0</v>
      </c>
      <c r="O78" s="73"/>
    </row>
    <row r="79" spans="1:15" x14ac:dyDescent="0.3">
      <c r="A79" s="19" t="s">
        <v>569</v>
      </c>
      <c r="B79" s="79">
        <f>IF(5&gt;Assumptions!$B$137,0,IF(SUM(B75:B78)&lt;1000,B70,B71)+IF(5=Assumptions!$B$137,B72,0))</f>
        <v>179.59479999999996</v>
      </c>
      <c r="C79" s="79">
        <f>IF(5&gt;Assumptions!$B$137,0,IF(SUM(C75:C78)&lt;1000,C70,C71)+IF(5=Assumptions!$B$137,C72,0))</f>
        <v>85.714285714285708</v>
      </c>
      <c r="D79" s="79">
        <f>IF(5&gt;Assumptions!$B$137,0,IF(SUM(D75:D78)&lt;1000,D70,D71)+IF(5=Assumptions!$B$137,D72,0))</f>
        <v>135.19911999999999</v>
      </c>
      <c r="E79" s="79">
        <f>IF(5&gt;Assumptions!$B$137,0,IF(SUM(E75:E78)&lt;1000,E70,E71)+IF(5=Assumptions!$B$137,E72,0))</f>
        <v>114.59479999999999</v>
      </c>
      <c r="F79" s="79">
        <f>IF(5&gt;Assumptions!$B$137,0,IF(SUM(F75:F78)&lt;1000,F70,F71)+IF(5=Assumptions!$B$137,F72,0))</f>
        <v>176.76239999999999</v>
      </c>
      <c r="G79" s="79">
        <f>IF(5&gt;Assumptions!$B$137,0,IF(SUM(G75:G78)&lt;1000,G70,G71)+IF(5=Assumptions!$B$137,G72,0))</f>
        <v>75.928960000000032</v>
      </c>
      <c r="H79" s="79">
        <f>IF(5&gt;Assumptions!$B$137,0,IF(SUM(H75:H78)&lt;1000,H70,H71)+IF(5=Assumptions!$B$137,H72,0))</f>
        <v>115.45379999999999</v>
      </c>
      <c r="I79" s="79">
        <f>IF(5&gt;Assumptions!$B$137,0,IF(SUM(I75:I78)&lt;1000,I70,I71)+IF(5=Assumptions!$B$137,I72,0))</f>
        <v>164.75273333333337</v>
      </c>
      <c r="J79" s="79">
        <f>IF(5&gt;Assumptions!$B$137,0,IF(SUM(J75:J78)&lt;1000,J70,J71)+IF(5=Assumptions!$B$137,J72,0))</f>
        <v>116.35079999999996</v>
      </c>
      <c r="K79" s="79">
        <f>IF(5&gt;Assumptions!$B$137,0,IF(SUM(K75:K78)&lt;1000,K70,K71)+IF(5=Assumptions!$B$137,K72,0))</f>
        <v>33.191999999999986</v>
      </c>
      <c r="L79" s="79">
        <f>IF(5&gt;Assumptions!$B$137,0,IF(SUM(L75:L78)&lt;1000,L70,L71)+IF(5=Assumptions!$B$137,L72,0))</f>
        <v>139.68484444444442</v>
      </c>
      <c r="M79" s="79">
        <f>IF(5&gt;Assumptions!$B$137,0,IF(SUM(M75:M78)&lt;1000,M70,M71)+IF(5=Assumptions!$B$137,M72,0))</f>
        <v>56.571428571428584</v>
      </c>
      <c r="N79" s="79">
        <f>IF(5&gt;Assumptions!$B$137,0,IF(SUM(N75:N78)&lt;1000,N70,N71)+IF(5=Assumptions!$B$137,N72,0))</f>
        <v>0</v>
      </c>
      <c r="O79" s="73"/>
    </row>
    <row r="80" spans="1:15" x14ac:dyDescent="0.3">
      <c r="A80" s="19" t="s">
        <v>754</v>
      </c>
      <c r="B80" s="79">
        <f>IF(6&gt;Assumptions!$B$137,0,IF(SUM(B75:B79)&lt;1000,B70,B71)+IF(6=Assumptions!$B$137,B72,0))</f>
        <v>179.59479999999996</v>
      </c>
      <c r="C80" s="79">
        <f>IF(6&gt;Assumptions!$B$137,0,IF(SUM(C75:C79)&lt;1000,C70,C71)+IF(6=Assumptions!$B$137,C72,0))</f>
        <v>85.714285714285708</v>
      </c>
      <c r="D80" s="79">
        <f>IF(6&gt;Assumptions!$B$137,0,IF(SUM(D75:D79)&lt;1000,D70,D71)+IF(6=Assumptions!$B$137,D72,0))</f>
        <v>135.19911999999999</v>
      </c>
      <c r="E80" s="79">
        <f>IF(6&gt;Assumptions!$B$137,0,IF(SUM(E75:E79)&lt;1000,E70,E71)+IF(6=Assumptions!$B$137,E72,0))</f>
        <v>114.59479999999999</v>
      </c>
      <c r="F80" s="79">
        <f>IF(6&gt;Assumptions!$B$137,0,IF(SUM(F75:F79)&lt;1000,F70,F71)+IF(6=Assumptions!$B$137,F72,0))</f>
        <v>176.76239999999999</v>
      </c>
      <c r="G80" s="79">
        <f>IF(6&gt;Assumptions!$B$137,0,IF(SUM(G75:G79)&lt;1000,G70,G71)+IF(6=Assumptions!$B$137,G72,0))</f>
        <v>75.928960000000032</v>
      </c>
      <c r="H80" s="79">
        <f>IF(6&gt;Assumptions!$B$137,0,IF(SUM(H75:H79)&lt;1000,H70,H71)+IF(6=Assumptions!$B$137,H72,0))</f>
        <v>115.45379999999999</v>
      </c>
      <c r="I80" s="79">
        <f>IF(6&gt;Assumptions!$B$137,0,IF(SUM(I75:I79)&lt;1000,I70,I71)+IF(6=Assumptions!$B$137,I72,0))</f>
        <v>164.75273333333337</v>
      </c>
      <c r="J80" s="79">
        <f>IF(6&gt;Assumptions!$B$137,0,IF(SUM(J75:J79)&lt;1000,J70,J71)+IF(6=Assumptions!$B$137,J72,0))</f>
        <v>116.35079999999996</v>
      </c>
      <c r="K80" s="79">
        <f>IF(6&gt;Assumptions!$B$137,0,IF(SUM(K75:K79)&lt;1000,K70,K71)+IF(6=Assumptions!$B$137,K72,0))</f>
        <v>33.191999999999986</v>
      </c>
      <c r="L80" s="79">
        <f>IF(6&gt;Assumptions!$B$137,0,IF(SUM(L75:L79)&lt;1000,L70,L71)+IF(6=Assumptions!$B$137,L72,0))</f>
        <v>139.68484444444442</v>
      </c>
      <c r="M80" s="79">
        <f>IF(6&gt;Assumptions!$B$137,0,IF(SUM(M75:M79)&lt;1000,M70,M71)+IF(6=Assumptions!$B$137,M72,0))</f>
        <v>56.571428571428584</v>
      </c>
      <c r="N80" s="79">
        <f>IF(6&gt;Assumptions!$B$137,0,IF(SUM(N75:N79)&lt;1000,N70,N71)+IF(6=Assumptions!$B$137,N72,0))</f>
        <v>0</v>
      </c>
      <c r="O80" s="73"/>
    </row>
    <row r="81" spans="1:15" x14ac:dyDescent="0.3">
      <c r="A81" s="19" t="s">
        <v>755</v>
      </c>
      <c r="B81" s="79">
        <f>IF(7&gt;Assumptions!$B$137,0,IF(SUM(B75:B80)&lt;1000,B70,B71)+IF(7=Assumptions!$B$137,B72,0))</f>
        <v>209.52726666666666</v>
      </c>
      <c r="C81" s="79">
        <f>IF(7&gt;Assumptions!$B$137,0,IF(SUM(C75:C80)&lt;1000,C70,C71)+IF(7=Assumptions!$B$137,C72,0))</f>
        <v>85.714285714285708</v>
      </c>
      <c r="D81" s="79">
        <f>IF(7&gt;Assumptions!$B$137,0,IF(SUM(D75:D80)&lt;1000,D70,D71)+IF(7=Assumptions!$B$137,D72,0))</f>
        <v>187.77655555555555</v>
      </c>
      <c r="E81" s="79">
        <f>IF(7&gt;Assumptions!$B$137,0,IF(SUM(E75:E80)&lt;1000,E70,E71)+IF(7=Assumptions!$B$137,E72,0))</f>
        <v>159.15944444444443</v>
      </c>
      <c r="F81" s="79">
        <f>IF(7&gt;Assumptions!$B$137,0,IF(SUM(F75:F80)&lt;1000,F70,F71)+IF(7=Assumptions!$B$137,F72,0))</f>
        <v>201.28362000000001</v>
      </c>
      <c r="G81" s="79">
        <f>IF(7&gt;Assumptions!$B$137,0,IF(SUM(G75:G80)&lt;1000,G70,G71)+IF(7=Assumptions!$B$137,G72,0))</f>
        <v>105.45688888888894</v>
      </c>
      <c r="H81" s="79">
        <f>IF(7&gt;Assumptions!$B$137,0,IF(SUM(H75:H80)&lt;1000,H70,H71)+IF(7=Assumptions!$B$137,H72,0))</f>
        <v>160.35249999999999</v>
      </c>
      <c r="I81" s="79">
        <f>IF(7&gt;Assumptions!$B$137,0,IF(SUM(I75:I80)&lt;1000,I70,I71)+IF(7=Assumptions!$B$137,I72,0))</f>
        <v>176.97138888888892</v>
      </c>
      <c r="J81" s="79">
        <f>IF(7&gt;Assumptions!$B$137,0,IF(SUM(J75:J80)&lt;1000,J70,J71)+IF(7=Assumptions!$B$137,J72,0))</f>
        <v>161.5983333333333</v>
      </c>
      <c r="K81" s="79">
        <f>IF(7&gt;Assumptions!$B$137,0,IF(SUM(K75:K80)&lt;1000,K70,K71)+IF(7=Assumptions!$B$137,K72,0))</f>
        <v>46.09999999999998</v>
      </c>
      <c r="L81" s="79">
        <f>IF(7&gt;Assumptions!$B$137,0,IF(SUM(L75:L80)&lt;1000,L70,L71)+IF(7=Assumptions!$B$137,L72,0))</f>
        <v>209.52726666666666</v>
      </c>
      <c r="M81" s="79">
        <f>IF(7&gt;Assumptions!$B$137,0,IF(SUM(M75:M80)&lt;1000,M70,M71)+IF(7=Assumptions!$B$137,M72,0))</f>
        <v>56.571428571428584</v>
      </c>
      <c r="N81" s="79">
        <f>IF(7&gt;Assumptions!$B$137,0,IF(SUM(N75:N80)&lt;1000,N70,N71)+IF(7=Assumptions!$B$137,N72,0))</f>
        <v>0</v>
      </c>
      <c r="O81" s="73"/>
    </row>
    <row r="82" spans="1:15" x14ac:dyDescent="0.3">
      <c r="A82" s="19" t="s">
        <v>756</v>
      </c>
      <c r="B82" s="79">
        <f>IF(8&gt;Assumptions!$B$137,0,IF(SUM(B75:B81)&lt;1000,B70,B71)+IF(8=Assumptions!$B$137,B72,0))</f>
        <v>0</v>
      </c>
      <c r="C82" s="79">
        <f>IF(8&gt;Assumptions!$B$137,0,IF(SUM(C75:C81)&lt;1000,C70,C71)+IF(8=Assumptions!$B$137,C72,0))</f>
        <v>0</v>
      </c>
      <c r="D82" s="79">
        <f>IF(8&gt;Assumptions!$B$137,0,IF(SUM(D75:D81)&lt;1000,D70,D71)+IF(8=Assumptions!$B$137,D72,0))</f>
        <v>0</v>
      </c>
      <c r="E82" s="79">
        <f>IF(8&gt;Assumptions!$B$137,0,IF(SUM(E75:E81)&lt;1000,E70,E71)+IF(8=Assumptions!$B$137,E72,0))</f>
        <v>0</v>
      </c>
      <c r="F82" s="79">
        <f>IF(8&gt;Assumptions!$B$137,0,IF(SUM(F75:F81)&lt;1000,F70,F71)+IF(8=Assumptions!$B$137,F72,0))</f>
        <v>0</v>
      </c>
      <c r="G82" s="79">
        <f>IF(8&gt;Assumptions!$B$137,0,IF(SUM(G75:G81)&lt;1000,G70,G71)+IF(8=Assumptions!$B$137,G72,0))</f>
        <v>0</v>
      </c>
      <c r="H82" s="79">
        <f>IF(8&gt;Assumptions!$B$137,0,IF(SUM(H75:H81)&lt;1000,H70,H71)+IF(8=Assumptions!$B$137,H72,0))</f>
        <v>0</v>
      </c>
      <c r="I82" s="79">
        <f>IF(8&gt;Assumptions!$B$137,0,IF(SUM(I75:I81)&lt;1000,I70,I71)+IF(8=Assumptions!$B$137,I72,0))</f>
        <v>0</v>
      </c>
      <c r="J82" s="79">
        <f>IF(8&gt;Assumptions!$B$137,0,IF(SUM(J75:J81)&lt;1000,J70,J71)+IF(8=Assumptions!$B$137,J72,0))</f>
        <v>0</v>
      </c>
      <c r="K82" s="79">
        <f>IF(8&gt;Assumptions!$B$137,0,IF(SUM(K75:K81)&lt;1000,K70,K71)+IF(8=Assumptions!$B$137,K72,0))</f>
        <v>0</v>
      </c>
      <c r="L82" s="79">
        <f>IF(8&gt;Assumptions!$B$137,0,IF(SUM(L75:L81)&lt;1000,L70,L71)+IF(8=Assumptions!$B$137,L72,0))</f>
        <v>0</v>
      </c>
      <c r="M82" s="79">
        <f>IF(8&gt;Assumptions!$B$137,0,IF(SUM(M75:M81)&lt;1000,M70,M71)+IF(8=Assumptions!$B$137,M72,0))</f>
        <v>0</v>
      </c>
      <c r="N82" s="79">
        <f>IF(8&gt;Assumptions!$B$137,0,IF(SUM(N75:N81)&lt;1000,N70,N71)+IF(8=Assumptions!$B$137,N72,0))</f>
        <v>0</v>
      </c>
      <c r="O82" s="73"/>
    </row>
    <row r="83" spans="1:15" x14ac:dyDescent="0.3">
      <c r="A83" s="19" t="s">
        <v>757</v>
      </c>
      <c r="B83" s="79">
        <f>IF(9&gt;Assumptions!$B$137,0,IF(SUM(B75:B82)&lt;1000,B70,B71)+IF(9=Assumptions!$B$137,B72,0))</f>
        <v>0</v>
      </c>
      <c r="C83" s="79">
        <f>IF(9&gt;Assumptions!$B$137,0,IF(SUM(C75:C82)&lt;1000,C70,C71)+IF(9=Assumptions!$B$137,C72,0))</f>
        <v>0</v>
      </c>
      <c r="D83" s="79">
        <f>IF(9&gt;Assumptions!$B$137,0,IF(SUM(D75:D82)&lt;1000,D70,D71)+IF(9=Assumptions!$B$137,D72,0))</f>
        <v>0</v>
      </c>
      <c r="E83" s="79">
        <f>IF(9&gt;Assumptions!$B$137,0,IF(SUM(E75:E82)&lt;1000,E70,E71)+IF(9=Assumptions!$B$137,E72,0))</f>
        <v>0</v>
      </c>
      <c r="F83" s="79">
        <f>IF(9&gt;Assumptions!$B$137,0,IF(SUM(F75:F82)&lt;1000,F70,F71)+IF(9=Assumptions!$B$137,F72,0))</f>
        <v>0</v>
      </c>
      <c r="G83" s="79">
        <f>IF(9&gt;Assumptions!$B$137,0,IF(SUM(G75:G82)&lt;1000,G70,G71)+IF(9=Assumptions!$B$137,G72,0))</f>
        <v>0</v>
      </c>
      <c r="H83" s="79">
        <f>IF(9&gt;Assumptions!$B$137,0,IF(SUM(H75:H82)&lt;1000,H70,H71)+IF(9=Assumptions!$B$137,H72,0))</f>
        <v>0</v>
      </c>
      <c r="I83" s="79">
        <f>IF(9&gt;Assumptions!$B$137,0,IF(SUM(I75:I82)&lt;1000,I70,I71)+IF(9=Assumptions!$B$137,I72,0))</f>
        <v>0</v>
      </c>
      <c r="J83" s="79">
        <f>IF(9&gt;Assumptions!$B$137,0,IF(SUM(J75:J82)&lt;1000,J70,J71)+IF(9=Assumptions!$B$137,J72,0))</f>
        <v>0</v>
      </c>
      <c r="K83" s="79">
        <f>IF(9&gt;Assumptions!$B$137,0,IF(SUM(K75:K82)&lt;1000,K70,K71)+IF(9=Assumptions!$B$137,K72,0))</f>
        <v>0</v>
      </c>
      <c r="L83" s="79">
        <f>IF(9&gt;Assumptions!$B$137,0,IF(SUM(L75:L82)&lt;1000,L70,L71)+IF(9=Assumptions!$B$137,L72,0))</f>
        <v>0</v>
      </c>
      <c r="M83" s="79">
        <f>IF(9&gt;Assumptions!$B$137,0,IF(SUM(M75:M82)&lt;1000,M70,M71)+IF(9=Assumptions!$B$137,M72,0))</f>
        <v>0</v>
      </c>
      <c r="N83" s="79">
        <f>IF(9&gt;Assumptions!$B$137,0,IF(SUM(N75:N82)&lt;1000,N70,N71)+IF(9=Assumptions!$B$137,N72,0))</f>
        <v>0</v>
      </c>
      <c r="O83" s="73"/>
    </row>
    <row r="84" spans="1:15" x14ac:dyDescent="0.3">
      <c r="A84" s="19" t="s">
        <v>758</v>
      </c>
      <c r="B84" s="79">
        <f>IF(10&gt;Assumptions!$B$137,0,IF(SUM(B75:B83)&lt;1000,B70,B71)+IF(10=Assumptions!$B$137,B72,0))</f>
        <v>0</v>
      </c>
      <c r="C84" s="79">
        <f>IF(10&gt;Assumptions!$B$137,0,IF(SUM(C75:C83)&lt;1000,C70,C71)+IF(10=Assumptions!$B$137,C72,0))</f>
        <v>0</v>
      </c>
      <c r="D84" s="79">
        <f>IF(10&gt;Assumptions!$B$137,0,IF(SUM(D75:D83)&lt;1000,D70,D71)+IF(10=Assumptions!$B$137,D72,0))</f>
        <v>0</v>
      </c>
      <c r="E84" s="79">
        <f>IF(10&gt;Assumptions!$B$137,0,IF(SUM(E75:E83)&lt;1000,E70,E71)+IF(10=Assumptions!$B$137,E72,0))</f>
        <v>0</v>
      </c>
      <c r="F84" s="79">
        <f>IF(10&gt;Assumptions!$B$137,0,IF(SUM(F75:F83)&lt;1000,F70,F71)+IF(10=Assumptions!$B$137,F72,0))</f>
        <v>0</v>
      </c>
      <c r="G84" s="79">
        <f>IF(10&gt;Assumptions!$B$137,0,IF(SUM(G75:G83)&lt;1000,G70,G71)+IF(10=Assumptions!$B$137,G72,0))</f>
        <v>0</v>
      </c>
      <c r="H84" s="79">
        <f>IF(10&gt;Assumptions!$B$137,0,IF(SUM(H75:H83)&lt;1000,H70,H71)+IF(10=Assumptions!$B$137,H72,0))</f>
        <v>0</v>
      </c>
      <c r="I84" s="79">
        <f>IF(10&gt;Assumptions!$B$137,0,IF(SUM(I75:I83)&lt;1000,I70,I71)+IF(10=Assumptions!$B$137,I72,0))</f>
        <v>0</v>
      </c>
      <c r="J84" s="79">
        <f>IF(10&gt;Assumptions!$B$137,0,IF(SUM(J75:J83)&lt;1000,J70,J71)+IF(10=Assumptions!$B$137,J72,0))</f>
        <v>0</v>
      </c>
      <c r="K84" s="79">
        <f>IF(10&gt;Assumptions!$B$137,0,IF(SUM(K75:K83)&lt;1000,K70,K71)+IF(10=Assumptions!$B$137,K72,0))</f>
        <v>0</v>
      </c>
      <c r="L84" s="79">
        <f>IF(10&gt;Assumptions!$B$137,0,IF(SUM(L75:L83)&lt;1000,L70,L71)+IF(10=Assumptions!$B$137,L72,0))</f>
        <v>0</v>
      </c>
      <c r="M84" s="79">
        <f>IF(10&gt;Assumptions!$B$137,0,IF(SUM(M75:M83)&lt;1000,M70,M71)+IF(10=Assumptions!$B$137,M72,0))</f>
        <v>0</v>
      </c>
      <c r="N84" s="79">
        <f>IF(10&gt;Assumptions!$B$137,0,IF(SUM(N75:N83)&lt;1000,N70,N71)+IF(10=Assumptions!$B$137,N72,0))</f>
        <v>0</v>
      </c>
      <c r="O84" s="73"/>
    </row>
    <row r="85" spans="1:15" x14ac:dyDescent="0.3">
      <c r="A85" s="26" t="s">
        <v>759</v>
      </c>
      <c r="B85" s="81">
        <f t="shared" ref="B85:N85" si="17">SUM(B75:B84)</f>
        <v>1287.0960666666665</v>
      </c>
      <c r="C85" s="81">
        <f t="shared" si="17"/>
        <v>599.99999999999989</v>
      </c>
      <c r="D85" s="81">
        <f t="shared" si="17"/>
        <v>998.97127555555551</v>
      </c>
      <c r="E85" s="81">
        <f t="shared" si="17"/>
        <v>846.72824444444427</v>
      </c>
      <c r="F85" s="81">
        <f t="shared" si="17"/>
        <v>1261.8580199999999</v>
      </c>
      <c r="G85" s="81">
        <f t="shared" si="17"/>
        <v>561.03064888888912</v>
      </c>
      <c r="H85" s="81">
        <f t="shared" si="17"/>
        <v>853.07529999999986</v>
      </c>
      <c r="I85" s="81">
        <f t="shared" si="17"/>
        <v>1165.4877888888891</v>
      </c>
      <c r="J85" s="81">
        <f t="shared" si="17"/>
        <v>859.70313333333297</v>
      </c>
      <c r="K85" s="81">
        <f t="shared" si="17"/>
        <v>245.2519999999999</v>
      </c>
      <c r="L85" s="81">
        <f t="shared" si="17"/>
        <v>1047.6363333333334</v>
      </c>
      <c r="M85" s="81">
        <f t="shared" si="17"/>
        <v>396</v>
      </c>
      <c r="N85" s="81">
        <f t="shared" si="17"/>
        <v>0</v>
      </c>
      <c r="O85" s="73" t="s">
        <v>228</v>
      </c>
    </row>
    <row r="86" spans="1:15" x14ac:dyDescent="0.3">
      <c r="A86" s="26" t="s">
        <v>760</v>
      </c>
      <c r="B86" s="82">
        <f t="shared" ref="B86:N86" si="18">B85/1000</f>
        <v>1.2870960666666664</v>
      </c>
      <c r="C86" s="82">
        <f t="shared" si="18"/>
        <v>0.59999999999999987</v>
      </c>
      <c r="D86" s="82">
        <f t="shared" si="18"/>
        <v>0.99897127555555554</v>
      </c>
      <c r="E86" s="82">
        <f t="shared" si="18"/>
        <v>0.84672824444444428</v>
      </c>
      <c r="F86" s="82">
        <f t="shared" si="18"/>
        <v>1.2618580199999998</v>
      </c>
      <c r="G86" s="82">
        <f t="shared" si="18"/>
        <v>0.56103064888888909</v>
      </c>
      <c r="H86" s="82">
        <f t="shared" si="18"/>
        <v>0.85307529999999987</v>
      </c>
      <c r="I86" s="82">
        <f t="shared" si="18"/>
        <v>1.165487788888889</v>
      </c>
      <c r="J86" s="82">
        <f t="shared" si="18"/>
        <v>0.85970313333333293</v>
      </c>
      <c r="K86" s="82">
        <f t="shared" si="18"/>
        <v>0.24525199999999989</v>
      </c>
      <c r="L86" s="82">
        <f t="shared" si="18"/>
        <v>1.0476363333333334</v>
      </c>
      <c r="M86" s="82">
        <f t="shared" si="18"/>
        <v>0.39600000000000002</v>
      </c>
      <c r="N86" s="82">
        <f t="shared" si="18"/>
        <v>0</v>
      </c>
      <c r="O86" s="73"/>
    </row>
    <row r="87" spans="1:15" x14ac:dyDescent="0.3">
      <c r="A87" s="26" t="s">
        <v>761</v>
      </c>
      <c r="B87" s="82">
        <f t="shared" ref="B87:N87" si="19">MAX(0,1-B86)</f>
        <v>0</v>
      </c>
      <c r="C87" s="82">
        <f t="shared" si="19"/>
        <v>0.40000000000000013</v>
      </c>
      <c r="D87" s="82">
        <f t="shared" si="19"/>
        <v>1.0287244444444621E-3</v>
      </c>
      <c r="E87" s="82">
        <f t="shared" si="19"/>
        <v>0.15327175555555572</v>
      </c>
      <c r="F87" s="82">
        <f t="shared" si="19"/>
        <v>0</v>
      </c>
      <c r="G87" s="82">
        <f t="shared" si="19"/>
        <v>0.43896935111111091</v>
      </c>
      <c r="H87" s="82">
        <f t="shared" si="19"/>
        <v>0.14692470000000013</v>
      </c>
      <c r="I87" s="82">
        <f t="shared" si="19"/>
        <v>0</v>
      </c>
      <c r="J87" s="82">
        <f t="shared" si="19"/>
        <v>0.14029686666666707</v>
      </c>
      <c r="K87" s="82">
        <f t="shared" si="19"/>
        <v>0.75474800000000009</v>
      </c>
      <c r="L87" s="82">
        <f t="shared" si="19"/>
        <v>0</v>
      </c>
      <c r="M87" s="82">
        <f t="shared" si="19"/>
        <v>0.60399999999999998</v>
      </c>
      <c r="N87" s="82">
        <f t="shared" si="19"/>
        <v>1</v>
      </c>
      <c r="O87" s="73"/>
    </row>
    <row r="88" spans="1:15" x14ac:dyDescent="0.3">
      <c r="A88" s="26" t="s">
        <v>762</v>
      </c>
      <c r="B88" s="83">
        <f t="shared" ref="B88:N88" si="20">IFERROR(IRR(B74:B84),-1)</f>
        <v>6.6187267991014487E-2</v>
      </c>
      <c r="C88" s="83">
        <f t="shared" si="20"/>
        <v>-0.11351476580816899</v>
      </c>
      <c r="D88" s="83">
        <f t="shared" si="20"/>
        <v>-2.4748023739851188E-4</v>
      </c>
      <c r="E88" s="83">
        <f t="shared" si="20"/>
        <v>-3.8472292317659806E-2</v>
      </c>
      <c r="F88" s="83">
        <f t="shared" si="20"/>
        <v>6.0849357979049445E-2</v>
      </c>
      <c r="G88" s="83">
        <f t="shared" si="20"/>
        <v>-0.12230207244561109</v>
      </c>
      <c r="H88" s="83">
        <f t="shared" si="20"/>
        <v>-3.6808596303639418E-2</v>
      </c>
      <c r="I88" s="83">
        <f t="shared" si="20"/>
        <v>3.9500304837887912E-2</v>
      </c>
      <c r="J88" s="83">
        <f t="shared" si="20"/>
        <v>-3.5078459137365736E-2</v>
      </c>
      <c r="K88" s="83">
        <f t="shared" si="20"/>
        <v>-0.2559803585190642</v>
      </c>
      <c r="L88" s="83">
        <f t="shared" si="20"/>
        <v>1.1205953688501635E-2</v>
      </c>
      <c r="M88" s="83">
        <f t="shared" si="20"/>
        <v>-0.18936659879357676</v>
      </c>
      <c r="N88" s="83">
        <f t="shared" si="20"/>
        <v>-1</v>
      </c>
      <c r="O88" s="73"/>
    </row>
    <row r="89" spans="1:15" x14ac:dyDescent="0.3">
      <c r="A89" s="19" t="s">
        <v>763</v>
      </c>
      <c r="B89" s="51">
        <f t="shared" ref="B89:N89" si="21">B70/1000</f>
        <v>0.17959479999999997</v>
      </c>
      <c r="C89" s="51">
        <f t="shared" si="21"/>
        <v>8.5714285714285715E-2</v>
      </c>
      <c r="D89" s="51">
        <f t="shared" si="21"/>
        <v>0.13519912000000001</v>
      </c>
      <c r="E89" s="51">
        <f t="shared" si="21"/>
        <v>0.1145948</v>
      </c>
      <c r="F89" s="51">
        <f t="shared" si="21"/>
        <v>0.17676239999999999</v>
      </c>
      <c r="G89" s="51">
        <f t="shared" si="21"/>
        <v>7.5928960000000031E-2</v>
      </c>
      <c r="H89" s="51">
        <f t="shared" si="21"/>
        <v>0.11545379999999998</v>
      </c>
      <c r="I89" s="51">
        <f t="shared" si="21"/>
        <v>0.16475273333333337</v>
      </c>
      <c r="J89" s="51">
        <f t="shared" si="21"/>
        <v>0.11635079999999996</v>
      </c>
      <c r="K89" s="51">
        <f t="shared" si="21"/>
        <v>3.3191999999999985E-2</v>
      </c>
      <c r="L89" s="51">
        <f t="shared" si="21"/>
        <v>0.13968484444444443</v>
      </c>
      <c r="M89" s="51">
        <f t="shared" si="21"/>
        <v>5.6571428571428585E-2</v>
      </c>
      <c r="N89" s="51">
        <f t="shared" si="21"/>
        <v>0</v>
      </c>
      <c r="O89" s="73"/>
    </row>
    <row r="90" spans="1:15" x14ac:dyDescent="0.3">
      <c r="A90" s="40" t="s">
        <v>764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</row>
    <row r="91" spans="1:15" x14ac:dyDescent="0.3">
      <c r="A91" s="19" t="s">
        <v>765</v>
      </c>
      <c r="B91" s="54">
        <f>(1-Assumptions!$B$135)*B58-B66</f>
        <v>0</v>
      </c>
      <c r="C91" s="54">
        <f>(1-Assumptions!$B$135)*C58-C66</f>
        <v>-990</v>
      </c>
      <c r="D91" s="54">
        <f>(1-Assumptions!$B$135)*D58-D66</f>
        <v>0</v>
      </c>
      <c r="E91" s="54">
        <f>(1-Assumptions!$B$135)*E58-E66</f>
        <v>0</v>
      </c>
      <c r="F91" s="54">
        <f>(1-Assumptions!$B$135)*F58-F66</f>
        <v>-220.04046899999997</v>
      </c>
      <c r="G91" s="54">
        <f>(1-Assumptions!$B$135)*G58-G66</f>
        <v>0</v>
      </c>
      <c r="H91" s="54">
        <f>(1-Assumptions!$B$135)*H58-H66</f>
        <v>0</v>
      </c>
      <c r="I91" s="54">
        <f>(1-Assumptions!$B$135)*I58-I66</f>
        <v>-990</v>
      </c>
      <c r="J91" s="54">
        <f>(1-Assumptions!$B$135)*J58-J66</f>
        <v>0</v>
      </c>
      <c r="K91" s="54">
        <f>(1-Assumptions!$B$135)*K58-K66</f>
        <v>0</v>
      </c>
      <c r="L91" s="54">
        <f>(1-0)*L58-L66</f>
        <v>448.98700000000002</v>
      </c>
      <c r="M91" s="54">
        <f>(1-Assumptions!$B$135)*M58-M66</f>
        <v>-990</v>
      </c>
      <c r="N91" s="54">
        <f>(1-Assumptions!$B$135)*N58-N66</f>
        <v>0</v>
      </c>
      <c r="O91" s="73" t="s">
        <v>245</v>
      </c>
    </row>
    <row r="92" spans="1:15" x14ac:dyDescent="0.3">
      <c r="A92" s="19" t="s">
        <v>766</v>
      </c>
      <c r="B92" s="54">
        <f t="shared" ref="B92:N92" si="22">B58-B66</f>
        <v>448.98700000000002</v>
      </c>
      <c r="C92" s="54">
        <f t="shared" si="22"/>
        <v>-990</v>
      </c>
      <c r="D92" s="54">
        <f t="shared" si="22"/>
        <v>337.99780000000004</v>
      </c>
      <c r="E92" s="54">
        <f t="shared" si="22"/>
        <v>286.48700000000002</v>
      </c>
      <c r="F92" s="54">
        <f t="shared" si="22"/>
        <v>147.77783100000005</v>
      </c>
      <c r="G92" s="54">
        <f t="shared" si="22"/>
        <v>189.82240000000013</v>
      </c>
      <c r="H92" s="54">
        <f t="shared" si="22"/>
        <v>448.98700000000002</v>
      </c>
      <c r="I92" s="54">
        <f t="shared" si="22"/>
        <v>-911.4514999999999</v>
      </c>
      <c r="J92" s="54">
        <f t="shared" si="22"/>
        <v>290.87699999999995</v>
      </c>
      <c r="K92" s="54">
        <f t="shared" si="22"/>
        <v>82.979999999999976</v>
      </c>
      <c r="L92" s="54">
        <f t="shared" si="22"/>
        <v>448.98700000000002</v>
      </c>
      <c r="M92" s="54">
        <f t="shared" si="22"/>
        <v>-990</v>
      </c>
      <c r="N92" s="54">
        <f t="shared" si="22"/>
        <v>0</v>
      </c>
      <c r="O92" s="73" t="s">
        <v>245</v>
      </c>
    </row>
    <row r="93" spans="1:15" x14ac:dyDescent="0.3">
      <c r="A93" s="19" t="s">
        <v>767</v>
      </c>
      <c r="B93" s="54">
        <f>(1-Assumptions!$B$135)*B59-B67</f>
        <v>0</v>
      </c>
      <c r="C93" s="54">
        <f>(1-Assumptions!$B$135)*C59-C67</f>
        <v>-990</v>
      </c>
      <c r="D93" s="54">
        <f>(1-Assumptions!$B$135)*D59-D67</f>
        <v>0</v>
      </c>
      <c r="E93" s="54">
        <f>(1-Assumptions!$B$135)*E59-E67</f>
        <v>0</v>
      </c>
      <c r="F93" s="54">
        <f>(1-Assumptions!$B$135)*F59-F67</f>
        <v>-220.04046899999997</v>
      </c>
      <c r="G93" s="54">
        <f>(1-Assumptions!$B$135)*G59-G67</f>
        <v>0</v>
      </c>
      <c r="H93" s="54">
        <f>(1-Assumptions!$B$135)*H59-H67</f>
        <v>0</v>
      </c>
      <c r="I93" s="54">
        <f>(1-Assumptions!$B$135)*I59-I67</f>
        <v>-990</v>
      </c>
      <c r="J93" s="54">
        <f>(1-Assumptions!$B$135)*J59-J67</f>
        <v>0</v>
      </c>
      <c r="K93" s="54">
        <f>(1-Assumptions!$B$135)*K59-K67</f>
        <v>0</v>
      </c>
      <c r="L93" s="54">
        <f>(1-0)*L59-L67</f>
        <v>448.98700000000002</v>
      </c>
      <c r="M93" s="54">
        <f>(1-Assumptions!$B$135)*M59-M67</f>
        <v>-990</v>
      </c>
      <c r="N93" s="54">
        <f>(1-Assumptions!$B$135)*N59-N67</f>
        <v>0</v>
      </c>
      <c r="O93" s="73" t="s">
        <v>245</v>
      </c>
    </row>
    <row r="94" spans="1:15" x14ac:dyDescent="0.3">
      <c r="A94" s="19" t="s">
        <v>768</v>
      </c>
      <c r="B94" s="54">
        <f t="shared" ref="B94:N94" si="23">B59-B67</f>
        <v>448.98700000000002</v>
      </c>
      <c r="C94" s="54">
        <f t="shared" si="23"/>
        <v>-990</v>
      </c>
      <c r="D94" s="54">
        <f t="shared" si="23"/>
        <v>337.99780000000004</v>
      </c>
      <c r="E94" s="54">
        <f t="shared" si="23"/>
        <v>286.48700000000002</v>
      </c>
      <c r="F94" s="54">
        <f t="shared" si="23"/>
        <v>147.77783100000005</v>
      </c>
      <c r="G94" s="54">
        <f t="shared" si="23"/>
        <v>189.82240000000013</v>
      </c>
      <c r="H94" s="54">
        <f t="shared" si="23"/>
        <v>448.98700000000002</v>
      </c>
      <c r="I94" s="54">
        <f t="shared" si="23"/>
        <v>-911.4514999999999</v>
      </c>
      <c r="J94" s="54">
        <f t="shared" si="23"/>
        <v>290.87699999999995</v>
      </c>
      <c r="K94" s="54">
        <f t="shared" si="23"/>
        <v>82.979999999999976</v>
      </c>
      <c r="L94" s="54">
        <f t="shared" si="23"/>
        <v>448.98700000000002</v>
      </c>
      <c r="M94" s="54">
        <f t="shared" si="23"/>
        <v>-990</v>
      </c>
      <c r="N94" s="54">
        <f t="shared" si="23"/>
        <v>0</v>
      </c>
      <c r="O94" s="73" t="s">
        <v>245</v>
      </c>
    </row>
    <row r="95" spans="1:15" x14ac:dyDescent="0.3">
      <c r="A95" s="19" t="s">
        <v>769</v>
      </c>
      <c r="B95" s="54">
        <f>B55+Assumptions!$B$115*Assumptions!$B$34*(1+0)+(1-Assumptions!$B$115)*Assumptions!$B$127*(1+0)-B68</f>
        <v>10989.869999999999</v>
      </c>
      <c r="C95" s="54">
        <f>C55+Assumptions!$B$115*Assumptions!$B$34*(1+Pools_Scenarios!$C$96)+(1-Assumptions!$B$115)*Assumptions!$B$127*(1+Pools_Scenarios!$C$96)-C68</f>
        <v>5028.3994000000002</v>
      </c>
      <c r="D95" s="54">
        <f>D55+Assumptions!$B$115*Assumptions!$B$34*(1+0)+(1-Assumptions!$B$115)*Assumptions!$B$127*(1+0)-D68</f>
        <v>9879.9779999999992</v>
      </c>
      <c r="E95" s="54">
        <f>E55+Assumptions!$B$115*Assumptions!$B$34*(1+Pools_Scenarios!$C$96)+(1-Assumptions!$B$115)*Assumptions!$B$127*(1+Pools_Scenarios!$C$96)-E68</f>
        <v>12614.869999999999</v>
      </c>
      <c r="F95" s="54">
        <f>F55+Assumptions!$B$115*Assumptions!$B$34*(1+0)+(1-Assumptions!$B$115)*Assumptions!$B$127*(1+0)-F68</f>
        <v>9951.4746380000015</v>
      </c>
      <c r="G95" s="54">
        <f>G55+Assumptions!$B$115*Assumptions!$B$34*(1+0)+(1-Assumptions!$B$115)*Assumptions!$B$127*(1+0)-G68</f>
        <v>8398.224000000002</v>
      </c>
      <c r="H95" s="54">
        <f>H55+Assumptions!$B$115*Assumptions!$B$34*(1+0)+(1-Assumptions!$B$115)*Assumptions!$B$127*(1+0)-H68</f>
        <v>10989.869999999999</v>
      </c>
      <c r="I95" s="54">
        <f>I55+Assumptions!$B$115*Assumptions!$B$34*(1+0)+(1-Assumptions!$B$115)*Assumptions!$B$127*(1+0)-I68</f>
        <v>6265.4850000000006</v>
      </c>
      <c r="J95" s="54">
        <f>J55+Assumptions!$B$115*Assumptions!$B$34*(1+0)+(1-Assumptions!$B$115)*Assumptions!$B$127*(1+0)-J68</f>
        <v>9408.77</v>
      </c>
      <c r="K95" s="54">
        <f>K55+Assumptions!$B$115*Assumptions!$B$34*(1+0)+(1-Assumptions!$B$115)*Assumptions!$B$127*(1+0)-K68</f>
        <v>7329.7999999999993</v>
      </c>
      <c r="L95" s="54">
        <f>L55+Assumptions!$B$115*Assumptions!$B$34*(1+0)+(1-Assumptions!$B$115)*Assumptions!$B$127*(1+0)-L68</f>
        <v>10989.869999999999</v>
      </c>
      <c r="M95" s="54">
        <f>M55+Assumptions!$B$115*Assumptions!$B$34*(1+Pools_Scenarios!$C$96)+(1-Assumptions!$B$115)*Assumptions!$B$127*(1+Pools_Scenarios!$C$96)-M68</f>
        <v>4647.1606000000002</v>
      </c>
      <c r="N95" s="54">
        <f>N55+Assumptions!$B$115*Assumptions!$B$34*(1+Pools_Scenarios!$C$96)+(1-Assumptions!$B$115)*Assumptions!$B$127*(1+Pools_Scenarios!$C$96)-N68</f>
        <v>6048.3994000000002</v>
      </c>
      <c r="O95" s="73" t="s">
        <v>245</v>
      </c>
    </row>
    <row r="96" spans="1:15" x14ac:dyDescent="0.3">
      <c r="A96" s="19" t="s">
        <v>770</v>
      </c>
      <c r="B96" s="84" t="str">
        <f>""</f>
        <v/>
      </c>
      <c r="C96" s="84" t="str">
        <f>""</f>
        <v/>
      </c>
      <c r="D96" s="84" t="str">
        <f>""</f>
        <v/>
      </c>
      <c r="E96" s="84" t="str">
        <f>""</f>
        <v/>
      </c>
      <c r="F96" s="84" t="str">
        <f>""</f>
        <v/>
      </c>
      <c r="G96" s="84" t="str">
        <f>""</f>
        <v/>
      </c>
      <c r="H96" s="84" t="str">
        <f>""</f>
        <v/>
      </c>
      <c r="I96" s="84" t="str">
        <f>""</f>
        <v/>
      </c>
      <c r="J96" s="84" t="str">
        <f>""</f>
        <v/>
      </c>
      <c r="K96" s="84" t="str">
        <f>""</f>
        <v/>
      </c>
      <c r="L96" s="84" t="str">
        <f>""</f>
        <v/>
      </c>
      <c r="M96" s="84" t="str">
        <f>""</f>
        <v/>
      </c>
      <c r="N96" s="84" t="str">
        <f>""</f>
        <v/>
      </c>
      <c r="O96" s="73"/>
    </row>
    <row r="98" spans="1:1" x14ac:dyDescent="0.3">
      <c r="A98" s="73" t="s">
        <v>771</v>
      </c>
    </row>
    <row r="99" spans="1:1" x14ac:dyDescent="0.3">
      <c r="A99" s="73" t="s">
        <v>772</v>
      </c>
    </row>
    <row r="100" spans="1:1" x14ac:dyDescent="0.3">
      <c r="A100" s="73" t="s">
        <v>773</v>
      </c>
    </row>
    <row r="101" spans="1:1" x14ac:dyDescent="0.3">
      <c r="A101" s="73" t="s">
        <v>774</v>
      </c>
    </row>
    <row r="102" spans="1:1" x14ac:dyDescent="0.3">
      <c r="A102" s="73" t="s">
        <v>775</v>
      </c>
    </row>
    <row r="103" spans="1:1" x14ac:dyDescent="0.3">
      <c r="A103" s="73" t="s">
        <v>776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zoomScaleNormal="100" workbookViewId="0">
      <selection activeCell="B16" sqref="B16"/>
    </sheetView>
  </sheetViews>
  <sheetFormatPr defaultColWidth="8.6640625" defaultRowHeight="14.4" x14ac:dyDescent="0.3"/>
  <cols>
    <col min="1" max="1" width="50" customWidth="1"/>
    <col min="2" max="2" width="52" customWidth="1"/>
    <col min="3" max="7" width="14" customWidth="1"/>
  </cols>
  <sheetData>
    <row r="1" spans="1:7" ht="17.399999999999999" x14ac:dyDescent="0.3">
      <c r="A1" s="13" t="s">
        <v>777</v>
      </c>
    </row>
    <row r="2" spans="1:7" x14ac:dyDescent="0.3">
      <c r="A2" s="14" t="s">
        <v>778</v>
      </c>
    </row>
    <row r="4" spans="1:7" x14ac:dyDescent="0.3">
      <c r="A4" s="20" t="s">
        <v>779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781</v>
      </c>
      <c r="B5" s="41"/>
      <c r="C5" s="41"/>
      <c r="D5" s="41"/>
      <c r="E5" s="41"/>
      <c r="F5" s="41"/>
      <c r="G5" s="41"/>
    </row>
    <row r="6" spans="1:7" ht="24" x14ac:dyDescent="0.3">
      <c r="A6" s="19" t="s">
        <v>782</v>
      </c>
      <c r="B6" s="85" t="s">
        <v>783</v>
      </c>
      <c r="C6" s="22">
        <f>Pools_Scenarios!C18*((Assumptions!$B$21-Assumptions!$B$19)*Assumptions!$B$14+Assumptions!$B$70)</f>
        <v>39600.000000000007</v>
      </c>
      <c r="D6" s="22">
        <f>Pools_Scenarios!D18*((Assumptions!$B$21-Assumptions!$B$19)*Assumptions!$B$14+Assumptions!$B$70)</f>
        <v>111633.39799412059</v>
      </c>
      <c r="E6" s="22">
        <f>Pools_Scenarios!E18*((Assumptions!$B$21-Assumptions!$B$19)*Assumptions!$B$14+Assumptions!$B$70)</f>
        <v>182175.26187618836</v>
      </c>
      <c r="F6" s="22">
        <f>Pools_Scenarios!F18*((Assumptions!$B$21-Assumptions!$B$19)*Assumptions!$B$14+Assumptions!$B$70)</f>
        <v>261302.14760530755</v>
      </c>
      <c r="G6" s="22">
        <f>Pools_Scenarios!G18*((Assumptions!$B$21-Assumptions!$B$19)*Assumptions!$B$14+Assumptions!$B$70)</f>
        <v>330145.57160324446</v>
      </c>
    </row>
    <row r="7" spans="1:7" x14ac:dyDescent="0.3">
      <c r="A7" s="19" t="s">
        <v>784</v>
      </c>
      <c r="B7" s="85" t="s">
        <v>785</v>
      </c>
      <c r="C7" s="22">
        <f>Pools_Scenarios!C28*MAX(0,Pools_Scenarios!C31)*Assumptions!$B$28</f>
        <v>8415.8974111411917</v>
      </c>
      <c r="D7" s="22">
        <f>Pools_Scenarios!D28*MAX(0,Pools_Scenarios!D31)*Assumptions!$B$28</f>
        <v>30858.2905075177</v>
      </c>
      <c r="E7" s="22">
        <f>Pools_Scenarios!E28*MAX(0,Pools_Scenarios!E31)*Assumptions!$B$28</f>
        <v>50495.384466847143</v>
      </c>
      <c r="F7" s="22">
        <f>Pools_Scenarios!F28*MAX(0,Pools_Scenarios!F31)*Assumptions!$B$28</f>
        <v>53300.683603894206</v>
      </c>
      <c r="G7" s="22">
        <f>Pools_Scenarios!G28*MAX(0,Pools_Scenarios!G31)*Assumptions!$B$28</f>
        <v>42079.487055705955</v>
      </c>
    </row>
    <row r="8" spans="1:7" ht="24" x14ac:dyDescent="0.3">
      <c r="A8" s="19" t="s">
        <v>786</v>
      </c>
      <c r="B8" s="85" t="s">
        <v>787</v>
      </c>
      <c r="C8" s="22">
        <f>Pools_Scenarios!C70-Pools_Scenarios!C71</f>
        <v>0</v>
      </c>
      <c r="D8" s="22">
        <f>Pools_Scenarios!D70-Pools_Scenarios!D71</f>
        <v>0</v>
      </c>
      <c r="E8" s="22">
        <f>Pools_Scenarios!E70-Pools_Scenarios!E71</f>
        <v>0</v>
      </c>
      <c r="F8" s="22">
        <f>Pools_Scenarios!F70-Pools_Scenarios!F71</f>
        <v>0</v>
      </c>
      <c r="G8" s="22">
        <f>Pools_Scenarios!G70-Pools_Scenarios!G71</f>
        <v>0</v>
      </c>
    </row>
    <row r="9" spans="1:7" x14ac:dyDescent="0.3">
      <c r="A9" s="19" t="s">
        <v>788</v>
      </c>
      <c r="B9" s="85" t="s">
        <v>789</v>
      </c>
      <c r="C9" s="22">
        <f>Pools_Scenarios!C48*Assumptions!$B$10</f>
        <v>1286.3147747419985</v>
      </c>
      <c r="D9" s="22">
        <f>Pools_Scenarios!D48*Assumptions!$B$10</f>
        <v>3986.9818325669748</v>
      </c>
      <c r="E9" s="22">
        <f>Pools_Scenarios!E48*Assumptions!$B$10</f>
        <v>6999.4954018816379</v>
      </c>
      <c r="F9" s="22">
        <f>Pools_Scenarios!F48*Assumptions!$B$10</f>
        <v>10379.626977493717</v>
      </c>
      <c r="G9" s="22">
        <f>Pools_Scenarios!G48*Assumptions!$B$10</f>
        <v>13822.197504863525</v>
      </c>
    </row>
    <row r="10" spans="1:7" x14ac:dyDescent="0.3">
      <c r="A10" s="26" t="s">
        <v>790</v>
      </c>
      <c r="B10" s="85"/>
      <c r="C10" s="67">
        <f>SUM(C6:C9)+C31+C34</f>
        <v>42768.549685883198</v>
      </c>
      <c r="D10" s="67">
        <f>SUM(D6:D9)+D31+D34</f>
        <v>126156.78283420527</v>
      </c>
      <c r="E10" s="67">
        <f>SUM(E6:E9)+E31+E34</f>
        <v>203981.54174491714</v>
      </c>
      <c r="F10" s="67">
        <f>SUM(F6:F9)+F31+F34</f>
        <v>271239.97068669548</v>
      </c>
      <c r="G10" s="67">
        <f>SUM(G6:G9)+G31+G34</f>
        <v>312421.29366381397</v>
      </c>
    </row>
    <row r="11" spans="1:7" x14ac:dyDescent="0.3">
      <c r="A11" s="19" t="s">
        <v>791</v>
      </c>
      <c r="B11" s="85" t="s">
        <v>792</v>
      </c>
      <c r="C11" s="22">
        <f>Assumptions!$B$13*Assumptions!$B$158*Assumptions!$B$64</f>
        <v>104000</v>
      </c>
      <c r="D11" s="22">
        <f>Assumptions!$B$13*Assumptions!$C$158*Assumptions!$B$64</f>
        <v>208000</v>
      </c>
      <c r="E11" s="22">
        <f>Assumptions!$B$13*Assumptions!$D$158*Assumptions!$B$64</f>
        <v>208000</v>
      </c>
      <c r="F11" s="22">
        <f>Assumptions!$B$13*Assumptions!$E$158*Assumptions!$B$64</f>
        <v>208000</v>
      </c>
      <c r="G11" s="22">
        <f>Assumptions!$B$13*Assumptions!$F$158*Assumptions!$B$64</f>
        <v>208000</v>
      </c>
    </row>
    <row r="12" spans="1:7" x14ac:dyDescent="0.3">
      <c r="A12" s="26" t="s">
        <v>793</v>
      </c>
      <c r="B12" s="85"/>
      <c r="C12" s="67">
        <f>C10+C11</f>
        <v>146768.54968588319</v>
      </c>
      <c r="D12" s="67">
        <f>D10+D11</f>
        <v>334156.78283420525</v>
      </c>
      <c r="E12" s="67">
        <f>E10+E11</f>
        <v>411981.54174491717</v>
      </c>
      <c r="F12" s="67">
        <f>F10+F11</f>
        <v>479239.97068669548</v>
      </c>
      <c r="G12" s="67">
        <f>G10+G11</f>
        <v>520421.29366381397</v>
      </c>
    </row>
    <row r="14" spans="1:7" x14ac:dyDescent="0.3">
      <c r="A14" s="40" t="s">
        <v>794</v>
      </c>
      <c r="B14" s="41"/>
      <c r="C14" s="41"/>
      <c r="D14" s="41"/>
      <c r="E14" s="41"/>
      <c r="F14" s="41"/>
      <c r="G14" s="41"/>
    </row>
    <row r="15" spans="1:7" x14ac:dyDescent="0.3">
      <c r="A15" s="19" t="s">
        <v>795</v>
      </c>
      <c r="B15" s="85" t="s">
        <v>796</v>
      </c>
      <c r="C15" s="22">
        <f>Pools_Scenarios!C50</f>
        <v>82163.298642857146</v>
      </c>
      <c r="D15" s="22">
        <f>Pools_Scenarios!D50</f>
        <v>237325.39601239713</v>
      </c>
      <c r="E15" s="22">
        <f>Pools_Scenarios!E50</f>
        <v>378613.84871984203</v>
      </c>
      <c r="F15" s="22">
        <f>Pools_Scenarios!F50</f>
        <v>517911.11088675569</v>
      </c>
      <c r="G15" s="22">
        <f>Pools_Scenarios!G50</f>
        <v>636879.55404597416</v>
      </c>
    </row>
    <row r="16" spans="1:7" x14ac:dyDescent="0.3">
      <c r="A16" s="19" t="s">
        <v>597</v>
      </c>
      <c r="B16" s="85" t="s">
        <v>797</v>
      </c>
      <c r="C16" s="22">
        <f>Pools_Scenarios!C32</f>
        <v>17999.999999999996</v>
      </c>
      <c r="D16" s="22">
        <f>Pools_Scenarios!D32</f>
        <v>65999.999999999985</v>
      </c>
      <c r="E16" s="22">
        <f>Pools_Scenarios!E32</f>
        <v>107999.99999999997</v>
      </c>
      <c r="F16" s="22">
        <f>Pools_Scenarios!F32</f>
        <v>113999.99999999997</v>
      </c>
      <c r="G16" s="22">
        <f>Pools_Scenarios!G32</f>
        <v>89999.999999999985</v>
      </c>
    </row>
    <row r="17" spans="1:7" x14ac:dyDescent="0.3">
      <c r="A17" s="19" t="s">
        <v>798</v>
      </c>
      <c r="B17" s="85" t="s">
        <v>799</v>
      </c>
      <c r="C17" s="22">
        <f>Pools_Scenarios!C51</f>
        <v>1518.9127861089187</v>
      </c>
      <c r="D17" s="22">
        <f>Pools_Scenarios!D51</f>
        <v>4644.346882399369</v>
      </c>
      <c r="E17" s="22">
        <f>Pools_Scenarios!E51</f>
        <v>8188.4767166535121</v>
      </c>
      <c r="F17" s="22">
        <f>Pools_Scenarios!F51</f>
        <v>12394.780978689818</v>
      </c>
      <c r="G17" s="22">
        <f>Pools_Scenarios!G51</f>
        <v>16844.563930544595</v>
      </c>
    </row>
    <row r="19" spans="1:7" x14ac:dyDescent="0.3">
      <c r="A19" s="40" t="s">
        <v>800</v>
      </c>
      <c r="B19" s="41"/>
      <c r="C19" s="41"/>
      <c r="D19" s="41"/>
      <c r="E19" s="41"/>
      <c r="F19" s="41"/>
      <c r="G19" s="41"/>
    </row>
    <row r="20" spans="1:7" x14ac:dyDescent="0.3">
      <c r="A20" s="19" t="s">
        <v>801</v>
      </c>
      <c r="B20" s="85" t="s">
        <v>802</v>
      </c>
      <c r="C20" s="54">
        <f>Assumptions!$B$159</f>
        <v>1</v>
      </c>
      <c r="D20" s="54">
        <f>Assumptions!$B$159+Assumptions!$C$159</f>
        <v>3</v>
      </c>
      <c r="E20" s="54">
        <f>Assumptions!$B$159+Assumptions!$C$159+Assumptions!$D$159</f>
        <v>5</v>
      </c>
      <c r="F20" s="54">
        <f>Assumptions!$B$159+Assumptions!$C$159+Assumptions!$D$159+Assumptions!$E$159</f>
        <v>7</v>
      </c>
      <c r="G20" s="54">
        <f>Assumptions!$B$159+Assumptions!$C$159+Assumptions!$D$159+Assumptions!$E$159+Assumptions!$F$159</f>
        <v>9</v>
      </c>
    </row>
    <row r="21" spans="1:7" x14ac:dyDescent="0.3">
      <c r="A21" s="19" t="s">
        <v>803</v>
      </c>
      <c r="B21" s="85"/>
      <c r="C21" s="54">
        <f>Assumptions!$B$159*Assumptions!$B$160*C10</f>
        <v>42768.549685883198</v>
      </c>
      <c r="D21" s="54">
        <f>Assumptions!$B$159*Assumptions!$B$160*D10+Assumptions!$C$159*Assumptions!$C$160*C10</f>
        <v>177479.04245726511</v>
      </c>
      <c r="E21" s="54">
        <f>Assumptions!$B$159*Assumptions!$B$160*E10+Assumptions!$C$159*Assumptions!$C$160*D10+Assumptions!$D$159*Assumptions!$D$160*C10</f>
        <v>406691.94076902332</v>
      </c>
      <c r="F21" s="54">
        <f>Assumptions!$B$159*Assumptions!$B$160*F10+Assumptions!$C$159*Assumptions!$C$160*E10+Assumptions!$D$159*Assumptions!$D$160*D10+Assumptions!$E$159*Assumptions!$E$160*C10</f>
        <v>718728.21980470221</v>
      </c>
      <c r="G21" s="54">
        <f>Assumptions!$B$159*Assumptions!$B$160*G10+Assumptions!$C$159*Assumptions!$C$160*F10+Assumptions!$D$159*Assumptions!$D$160*E10+Assumptions!$E$159*Assumptions!$E$160*D10+Assumptions!$F$159*Assumptions!$F$160*C10</f>
        <v>1085397.5076058554</v>
      </c>
    </row>
    <row r="22" spans="1:7" x14ac:dyDescent="0.3">
      <c r="A22" s="19" t="s">
        <v>804</v>
      </c>
      <c r="B22" s="85"/>
      <c r="C22" s="54">
        <f>Assumptions!$B$159*Assumptions!$B$160*C11</f>
        <v>104000</v>
      </c>
      <c r="D22" s="54">
        <f>Assumptions!$B$159*Assumptions!$B$160*D11+Assumptions!$C$159*Assumptions!$C$160*C11</f>
        <v>332800</v>
      </c>
      <c r="E22" s="54">
        <f>Assumptions!$B$159*Assumptions!$B$160*E11+Assumptions!$C$159*Assumptions!$C$160*D11+Assumptions!$D$159*Assumptions!$D$160*C11</f>
        <v>582400</v>
      </c>
      <c r="F22" s="54">
        <f>Assumptions!$B$159*Assumptions!$B$160*F11+Assumptions!$C$159*Assumptions!$C$160*E11+Assumptions!$D$159*Assumptions!$D$160*D11+Assumptions!$E$159*Assumptions!$E$160*C11</f>
        <v>832000</v>
      </c>
      <c r="G22" s="54">
        <f>Assumptions!$B$159*Assumptions!$B$160*G11+Assumptions!$C$159*Assumptions!$C$160*F11+Assumptions!$D$159*Assumptions!$D$160*E11+Assumptions!$E$159*Assumptions!$E$160*D11+Assumptions!$F$159*Assumptions!$F$160*C11</f>
        <v>1081600</v>
      </c>
    </row>
    <row r="23" spans="1:7" x14ac:dyDescent="0.3">
      <c r="A23" s="26" t="s">
        <v>805</v>
      </c>
      <c r="B23" s="85"/>
      <c r="C23" s="67">
        <f>C21+C22</f>
        <v>146768.54968588319</v>
      </c>
      <c r="D23" s="67">
        <f>D21+D22</f>
        <v>510279.04245726508</v>
      </c>
      <c r="E23" s="67">
        <f>E21+E22</f>
        <v>989091.94076902326</v>
      </c>
      <c r="F23" s="67">
        <f>F21+F22</f>
        <v>1550728.2198047023</v>
      </c>
      <c r="G23" s="67">
        <f>G21+G22</f>
        <v>2166997.5076058554</v>
      </c>
    </row>
    <row r="24" spans="1:7" x14ac:dyDescent="0.3">
      <c r="A24" s="19" t="s">
        <v>806</v>
      </c>
      <c r="B24" s="85"/>
      <c r="C24" s="54">
        <f>Assumptions!$B$159*Assumptions!$B$160*Pools_Scenarios!C45</f>
        <v>3202500</v>
      </c>
      <c r="D24" s="54">
        <f>Assumptions!$B$159*Assumptions!$B$160*Pools_Scenarios!D45+Assumptions!$C$159*Assumptions!$C$160*Pools_Scenarios!C45</f>
        <v>7268000</v>
      </c>
      <c r="E24" s="54">
        <f>Assumptions!$B$159*Assumptions!$B$160*Pools_Scenarios!E45+Assumptions!$C$159*Assumptions!$C$160*Pools_Scenarios!D45+Assumptions!$D$159*Assumptions!$D$160*Pools_Scenarios!C45</f>
        <v>12038000</v>
      </c>
      <c r="F24" s="54">
        <f>Assumptions!$B$159*Assumptions!$B$160*Pools_Scenarios!F45+Assumptions!$C$159*Assumptions!$C$160*Pools_Scenarios!E45+Assumptions!$D$159*Assumptions!$D$160*Pools_Scenarios!D45+Assumptions!$E$159*Assumptions!$E$160*Pools_Scenarios!C45</f>
        <v>17900000</v>
      </c>
      <c r="G24" s="54">
        <f>Assumptions!$B$159*Assumptions!$B$160*Pools_Scenarios!G45+Assumptions!$C$159*Assumptions!$C$160*Pools_Scenarios!F45+Assumptions!$D$159*Assumptions!$D$160*Pools_Scenarios!E45+Assumptions!$E$159*Assumptions!$E$160*Pools_Scenarios!D45+Assumptions!$F$159*Assumptions!$F$160*Pools_Scenarios!C45</f>
        <v>23954000</v>
      </c>
    </row>
    <row r="25" spans="1:7" x14ac:dyDescent="0.3">
      <c r="A25" s="19" t="s">
        <v>807</v>
      </c>
      <c r="B25" s="85" t="s">
        <v>612</v>
      </c>
      <c r="C25" s="54">
        <f>Assumptions!$B$159*Assumptions!$B$160*Pools_Scenarios!C49</f>
        <v>6405</v>
      </c>
      <c r="D25" s="54">
        <f>Assumptions!$B$159*Assumptions!$B$160*Pools_Scenarios!D49+Assumptions!$C$159*Assumptions!$C$160*Pools_Scenarios!C49</f>
        <v>14536</v>
      </c>
      <c r="E25" s="54">
        <f>Assumptions!$B$159*Assumptions!$B$160*Pools_Scenarios!E49+Assumptions!$C$159*Assumptions!$C$160*Pools_Scenarios!D49+Assumptions!$D$159*Assumptions!$D$160*Pools_Scenarios!C49</f>
        <v>24076</v>
      </c>
      <c r="F25" s="54">
        <f>Assumptions!$B$159*Assumptions!$B$160*Pools_Scenarios!F49+Assumptions!$C$159*Assumptions!$C$160*Pools_Scenarios!E49+Assumptions!$D$159*Assumptions!$D$160*Pools_Scenarios!D49+Assumptions!$E$159*Assumptions!$E$160*Pools_Scenarios!C49</f>
        <v>35800</v>
      </c>
      <c r="G25" s="54">
        <f>Assumptions!$B$159*Assumptions!$B$160*Pools_Scenarios!G49+Assumptions!$C$159*Assumptions!$C$160*Pools_Scenarios!F49+Assumptions!$D$159*Assumptions!$D$160*Pools_Scenarios!E49+Assumptions!$E$159*Assumptions!$E$160*Pools_Scenarios!D49+Assumptions!$F$159*Assumptions!$F$160*Pools_Scenarios!C49</f>
        <v>47908</v>
      </c>
    </row>
    <row r="26" spans="1:7" x14ac:dyDescent="0.3">
      <c r="A26" s="19" t="s">
        <v>808</v>
      </c>
      <c r="B26" s="85"/>
      <c r="C26" s="54">
        <f>Assumptions!$B$159*Assumptions!$B$160*Pools_Scenarios!C50</f>
        <v>82163.298642857146</v>
      </c>
      <c r="D26" s="54">
        <f>Assumptions!$B$159*Assumptions!$B$160*Pools_Scenarios!D50+Assumptions!$C$159*Assumptions!$C$160*Pools_Scenarios!C50</f>
        <v>335921.35438382567</v>
      </c>
      <c r="E26" s="54">
        <f>Assumptions!$B$159*Assumptions!$B$160*Pools_Scenarios!E50+Assumptions!$C$159*Assumptions!$C$160*Pools_Scenarios!D50+Assumptions!$D$159*Assumptions!$D$160*Pools_Scenarios!C50</f>
        <v>762000.28230614704</v>
      </c>
      <c r="F26" s="54">
        <f>Assumptions!$B$159*Assumptions!$B$160*Pools_Scenarios!F50+Assumptions!$C$159*Assumptions!$C$160*Pools_Scenarios!E50+Assumptions!$D$159*Assumptions!$D$160*Pools_Scenarios!D50+Assumptions!$E$159*Assumptions!$E$160*Pools_Scenarios!C50</f>
        <v>1355634.1629368712</v>
      </c>
      <c r="G26" s="54">
        <f>Assumptions!$B$159*Assumptions!$B$160*Pools_Scenarios!G50+Assumptions!$C$159*Assumptions!$C$160*Pools_Scenarios!F50+Assumptions!$D$159*Assumptions!$D$160*Pools_Scenarios!E50+Assumptions!$E$159*Assumptions!$E$160*Pools_Scenarios!D50+Assumptions!$F$159*Assumptions!$F$160*Pools_Scenarios!C50</f>
        <v>2096095.9391601966</v>
      </c>
    </row>
    <row r="27" spans="1:7" x14ac:dyDescent="0.3">
      <c r="A27" s="19" t="s">
        <v>809</v>
      </c>
      <c r="B27" s="85"/>
      <c r="C27" s="54">
        <f>Assumptions!$B$159*Assumptions!$B$160*Pools_Scenarios!C51</f>
        <v>1518.9127861089187</v>
      </c>
      <c r="D27" s="54">
        <f>Assumptions!$B$159*Assumptions!$B$160*Pools_Scenarios!D51+Assumptions!$C$159*Assumptions!$C$160*Pools_Scenarios!C51</f>
        <v>6467.0422257300716</v>
      </c>
      <c r="E27" s="54">
        <f>Assumptions!$B$159*Assumptions!$B$160*Pools_Scenarios!E51+Assumptions!$C$159*Assumptions!$C$160*Pools_Scenarios!D51+Assumptions!$D$159*Assumptions!$D$160*Pools_Scenarios!C51</f>
        <v>15584.388318863457</v>
      </c>
      <c r="F27" s="54">
        <f>Assumptions!$B$159*Assumptions!$B$160*Pools_Scenarios!F51+Assumptions!$C$159*Assumptions!$C$160*Pools_Scenarios!E51+Assumptions!$D$159*Assumptions!$D$160*Pools_Scenarios!D51+Assumptions!$E$159*Assumptions!$E$160*Pools_Scenarios!C51</f>
        <v>29616.864640883974</v>
      </c>
      <c r="G27" s="54">
        <f>Assumptions!$B$159*Assumptions!$B$160*Pools_Scenarios!G51+Assumptions!$C$159*Assumptions!$C$160*Pools_Scenarios!F51+Assumptions!$D$159*Assumptions!$D$160*Pools_Scenarios!E51+Assumptions!$E$159*Assumptions!$E$160*Pools_Scenarios!D51+Assumptions!$F$159*Assumptions!$F$160*Pools_Scenarios!C51</f>
        <v>48940.384767166528</v>
      </c>
    </row>
    <row r="28" spans="1:7" x14ac:dyDescent="0.3">
      <c r="A28" s="16" t="s">
        <v>810</v>
      </c>
    </row>
    <row r="30" spans="1:7" x14ac:dyDescent="0.3">
      <c r="A30" s="69" t="s">
        <v>811</v>
      </c>
      <c r="B30" s="70"/>
      <c r="C30" s="70"/>
      <c r="D30" s="70"/>
      <c r="E30" s="70"/>
      <c r="F30" s="70"/>
      <c r="G30" s="70"/>
    </row>
    <row r="31" spans="1:7" ht="24" x14ac:dyDescent="0.3">
      <c r="A31" s="71" t="s">
        <v>812</v>
      </c>
      <c r="B31" s="85" t="s">
        <v>813</v>
      </c>
      <c r="C31" s="22">
        <f>Pools_Scenarios!C63*Assumptions!$B$78*Assumptions!$B$52*Assumptions!$B$14*(1-Assumptions!$B$79)</f>
        <v>3842.4375</v>
      </c>
      <c r="D31" s="22">
        <f>Pools_Scenarios!D63*Assumptions!$B$78*Assumptions!$B$52*Assumptions!$B$14*(1-Assumptions!$B$79)</f>
        <v>11527.312500000002</v>
      </c>
      <c r="E31" s="22">
        <f>Pools_Scenarios!E63*Assumptions!$B$78*Assumptions!$B$52*Assumptions!$B$14*(1-Assumptions!$B$79)</f>
        <v>20493.000000000004</v>
      </c>
      <c r="F31" s="22">
        <f>Pools_Scenarios!F63*Assumptions!$B$78*Assumptions!$B$52*Assumptions!$B$14*(1-Assumptions!$B$79)</f>
        <v>32020.3125</v>
      </c>
      <c r="G31" s="22">
        <f>Pools_Scenarios!G63*Assumptions!$B$78*Assumptions!$B$52*Assumptions!$B$14*(1-Assumptions!$B$79)</f>
        <v>44828.437500000007</v>
      </c>
    </row>
    <row r="32" spans="1:7" x14ac:dyDescent="0.3">
      <c r="A32" s="71" t="s">
        <v>814</v>
      </c>
      <c r="B32" s="85" t="s">
        <v>815</v>
      </c>
      <c r="C32" s="54">
        <f>Assumptions!$B$13*Assumptions!$B$158*Assumptions!$B$65</f>
        <v>52000</v>
      </c>
      <c r="D32" s="54">
        <f>Assumptions!$B$13*Assumptions!$C$158*Assumptions!$B$65</f>
        <v>104000</v>
      </c>
      <c r="E32" s="54">
        <f>Assumptions!$B$13*Assumptions!$D$158*Assumptions!$B$65</f>
        <v>104000</v>
      </c>
      <c r="F32" s="54">
        <f>Assumptions!$B$13*Assumptions!$E$158*Assumptions!$B$65</f>
        <v>104000</v>
      </c>
      <c r="G32" s="54">
        <f>Assumptions!$B$13*Assumptions!$F$158*Assumptions!$B$65</f>
        <v>104000</v>
      </c>
    </row>
    <row r="33" spans="1:7" x14ac:dyDescent="0.3">
      <c r="A33" s="71" t="s">
        <v>816</v>
      </c>
      <c r="B33" s="85" t="s">
        <v>817</v>
      </c>
      <c r="C33" s="54">
        <f>MAX(0,C32-C11)</f>
        <v>0</v>
      </c>
      <c r="D33" s="54">
        <f>MAX(0,D32-D11)</f>
        <v>0</v>
      </c>
      <c r="E33" s="54">
        <f>MAX(0,E32-E11)</f>
        <v>0</v>
      </c>
      <c r="F33" s="54">
        <f>MAX(0,F32-F11)</f>
        <v>0</v>
      </c>
      <c r="G33" s="54">
        <f>MAX(0,G32-G11)</f>
        <v>0</v>
      </c>
    </row>
    <row r="34" spans="1:7" ht="24" x14ac:dyDescent="0.3">
      <c r="A34" s="71" t="s">
        <v>818</v>
      </c>
      <c r="B34" s="85" t="s">
        <v>819</v>
      </c>
      <c r="C34" s="102">
        <f>-Pools_Scenarios!C78</f>
        <v>-10376.1</v>
      </c>
      <c r="D34" s="102">
        <f>-Pools_Scenarios!D78</f>
        <v>-31849.200000000001</v>
      </c>
      <c r="E34" s="102">
        <f>-Pools_Scenarios!E78</f>
        <v>-56181.600000000006</v>
      </c>
      <c r="F34" s="102">
        <f>-Pools_Scenarios!F78</f>
        <v>-85762.8</v>
      </c>
      <c r="G34" s="102">
        <f>-Pools_Scenarios!G78</f>
        <v>-118454.40000000001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"/>
  <sheetViews>
    <sheetView zoomScaleNormal="100" workbookViewId="0">
      <selection activeCell="A44" sqref="A44"/>
    </sheetView>
  </sheetViews>
  <sheetFormatPr defaultColWidth="8.6640625" defaultRowHeight="14.4" x14ac:dyDescent="0.3"/>
  <cols>
    <col min="1" max="1" width="52" customWidth="1"/>
    <col min="2" max="2" width="20" customWidth="1"/>
    <col min="3" max="7" width="14" customWidth="1"/>
  </cols>
  <sheetData>
    <row r="1" spans="1:7" ht="17.399999999999999" x14ac:dyDescent="0.3">
      <c r="A1" s="13" t="s">
        <v>820</v>
      </c>
    </row>
    <row r="2" spans="1:7" x14ac:dyDescent="0.3">
      <c r="A2" s="14" t="s">
        <v>821</v>
      </c>
    </row>
    <row r="4" spans="1:7" x14ac:dyDescent="0.3">
      <c r="A4" s="20" t="s">
        <v>822</v>
      </c>
      <c r="B4" s="21" t="s">
        <v>823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824</v>
      </c>
      <c r="B5" s="41"/>
      <c r="C5" s="41"/>
      <c r="D5" s="41"/>
      <c r="E5" s="41"/>
      <c r="F5" s="41"/>
      <c r="G5" s="41"/>
    </row>
    <row r="6" spans="1:7" x14ac:dyDescent="0.3">
      <c r="A6" s="19" t="s">
        <v>825</v>
      </c>
      <c r="B6" s="73" t="s">
        <v>826</v>
      </c>
      <c r="C6" s="22">
        <f>Assumptions!$B$60</f>
        <v>20000</v>
      </c>
      <c r="D6" s="22">
        <f>Assumptions!$B$61</f>
        <v>30000</v>
      </c>
      <c r="E6" s="22">
        <f>0</f>
        <v>0</v>
      </c>
      <c r="F6" s="22">
        <f>0</f>
        <v>0</v>
      </c>
      <c r="G6" s="22">
        <f>0</f>
        <v>0</v>
      </c>
    </row>
    <row r="7" spans="1:7" x14ac:dyDescent="0.3">
      <c r="A7" s="19" t="s">
        <v>827</v>
      </c>
      <c r="B7" s="73" t="s">
        <v>826</v>
      </c>
      <c r="C7" s="22">
        <f>0</f>
        <v>0</v>
      </c>
      <c r="D7" s="22">
        <f>Assumptions!$B$39</f>
        <v>72000</v>
      </c>
      <c r="E7" s="22">
        <f>Assumptions!$B$39</f>
        <v>72000</v>
      </c>
      <c r="F7" s="22">
        <f>Assumptions!$B$39</f>
        <v>72000</v>
      </c>
      <c r="G7" s="22">
        <f>Assumptions!$B$39</f>
        <v>72000</v>
      </c>
    </row>
    <row r="8" spans="1:7" x14ac:dyDescent="0.3">
      <c r="A8" s="26" t="s">
        <v>828</v>
      </c>
      <c r="B8" s="73"/>
      <c r="C8" s="67">
        <f>C6+C7</f>
        <v>20000</v>
      </c>
      <c r="D8" s="67">
        <f>D6+D7</f>
        <v>102000</v>
      </c>
      <c r="E8" s="67">
        <f>E6+E7</f>
        <v>72000</v>
      </c>
      <c r="F8" s="67">
        <f>F6+F7</f>
        <v>72000</v>
      </c>
      <c r="G8" s="67">
        <f>G6+G7</f>
        <v>72000</v>
      </c>
    </row>
    <row r="9" spans="1:7" x14ac:dyDescent="0.3">
      <c r="A9" s="19" t="s">
        <v>829</v>
      </c>
      <c r="B9" s="73" t="s">
        <v>830</v>
      </c>
      <c r="C9" s="22">
        <f>Pools_Scenarios!C45*Assumptions!$B$40*(1-Assumptions!$B$62)</f>
        <v>0</v>
      </c>
      <c r="D9" s="22">
        <f>Pools_Scenarios!D45*Assumptions!$B$40</f>
        <v>25687.5</v>
      </c>
      <c r="E9" s="22">
        <f>Pools_Scenarios!E45*Assumptions!$B$40</f>
        <v>30637.5</v>
      </c>
      <c r="F9" s="22">
        <f>Pools_Scenarios!F45*Assumptions!$B$40</f>
        <v>37837.5</v>
      </c>
      <c r="G9" s="22">
        <f>Pools_Scenarios!G45*Assumptions!$B$40</f>
        <v>37837.5</v>
      </c>
    </row>
    <row r="10" spans="1:7" x14ac:dyDescent="0.3">
      <c r="A10" s="19" t="s">
        <v>831</v>
      </c>
      <c r="B10" s="73" t="s">
        <v>830</v>
      </c>
      <c r="C10" s="22">
        <f>0</f>
        <v>0</v>
      </c>
      <c r="D10" s="22">
        <f>Pools_Scenarios!D46*Assumptions!$B$41</f>
        <v>23017.460391316326</v>
      </c>
      <c r="E10" s="22">
        <f>Pools_Scenarios!E46*Assumptions!$B$41</f>
        <v>36895.218292934813</v>
      </c>
      <c r="F10" s="22">
        <f>Pools_Scenarios!F46*Assumptions!$B$41</f>
        <v>50947.875541161942</v>
      </c>
      <c r="G10" s="22">
        <f>Pools_Scenarios!G46*Assumptions!$B$41</f>
        <v>62973.160705171111</v>
      </c>
    </row>
    <row r="11" spans="1:7" x14ac:dyDescent="0.3">
      <c r="A11" s="26" t="s">
        <v>832</v>
      </c>
      <c r="B11" s="73"/>
      <c r="C11" s="67">
        <f>C9+C10</f>
        <v>0</v>
      </c>
      <c r="D11" s="67">
        <f>D9+D10</f>
        <v>48704.96039131633</v>
      </c>
      <c r="E11" s="67">
        <f>E9+E10</f>
        <v>67532.71829293482</v>
      </c>
      <c r="F11" s="67">
        <f>F9+F10</f>
        <v>88785.37554116195</v>
      </c>
      <c r="G11" s="67">
        <f>G9+G10</f>
        <v>100810.66070517112</v>
      </c>
    </row>
    <row r="12" spans="1:7" x14ac:dyDescent="0.3">
      <c r="A12" s="19" t="s">
        <v>833</v>
      </c>
      <c r="B12" s="73" t="s">
        <v>834</v>
      </c>
      <c r="C12" s="22">
        <f>Pools_Scenarios!C48*Assumptions!$B$42</f>
        <v>2572.6295494839969</v>
      </c>
      <c r="D12" s="22">
        <f>Pools_Scenarios!D48*Assumptions!$B$42</f>
        <v>7973.9636651339497</v>
      </c>
      <c r="E12" s="22">
        <f>Pools_Scenarios!E48*Assumptions!$B$42</f>
        <v>13998.990803763276</v>
      </c>
      <c r="F12" s="22">
        <f>Pools_Scenarios!F48*Assumptions!$B$42</f>
        <v>20759.253954987435</v>
      </c>
      <c r="G12" s="22">
        <f>Pools_Scenarios!G48*Assumptions!$B$42</f>
        <v>27644.39500972705</v>
      </c>
    </row>
    <row r="13" spans="1:7" x14ac:dyDescent="0.3">
      <c r="A13" s="26" t="s">
        <v>835</v>
      </c>
      <c r="B13" s="73"/>
      <c r="C13" s="68">
        <f>C8+C11-C25</f>
        <v>20000</v>
      </c>
      <c r="D13" s="68">
        <f>D8+D11-D25</f>
        <v>150704.96039131633</v>
      </c>
      <c r="E13" s="68">
        <f>E8+E11-E25</f>
        <v>139532.71829293482</v>
      </c>
      <c r="F13" s="68">
        <f>F8+F11-F25</f>
        <v>160785.37554116195</v>
      </c>
      <c r="G13" s="68">
        <f>G8+G11-G25</f>
        <v>172810.66070517112</v>
      </c>
    </row>
    <row r="15" spans="1:7" x14ac:dyDescent="0.3">
      <c r="A15" s="40" t="s">
        <v>836</v>
      </c>
      <c r="B15" s="41"/>
      <c r="C15" s="41"/>
      <c r="D15" s="41"/>
      <c r="E15" s="41"/>
      <c r="F15" s="41"/>
      <c r="G15" s="41"/>
    </row>
    <row r="16" spans="1:7" x14ac:dyDescent="0.3">
      <c r="A16" s="19" t="s">
        <v>837</v>
      </c>
      <c r="B16" s="73" t="s">
        <v>838</v>
      </c>
      <c r="C16" s="54">
        <f>Assumptions!$B$159*Assumptions!$B$160*C8</f>
        <v>20000</v>
      </c>
      <c r="D16" s="54">
        <f>Assumptions!$B$159*Assumptions!$B$160*D8+Assumptions!$C$159*Assumptions!$C$160*C8</f>
        <v>126000</v>
      </c>
      <c r="E16" s="54">
        <f>Assumptions!$B$159*Assumptions!$B$160*E8+Assumptions!$C$159*Assumptions!$C$160*D8+Assumptions!$D$159*Assumptions!$D$160*C8</f>
        <v>218400</v>
      </c>
      <c r="F16" s="54">
        <f>Assumptions!$B$159*Assumptions!$B$160*F8+Assumptions!$C$159*Assumptions!$C$160*E8+Assumptions!$D$159*Assumptions!$D$160*D8+Assumptions!$E$159*Assumptions!$E$160*C8</f>
        <v>304800</v>
      </c>
      <c r="G16" s="54">
        <f>Assumptions!$B$159*Assumptions!$B$160*G8+Assumptions!$C$159*Assumptions!$C$160*F8+Assumptions!$D$159*Assumptions!$D$160*E8+Assumptions!$E$159*Assumptions!$E$160*D8+Assumptions!$F$159*Assumptions!$F$160*C8</f>
        <v>391200</v>
      </c>
    </row>
    <row r="17" spans="1:7" x14ac:dyDescent="0.3">
      <c r="A17" s="19" t="s">
        <v>839</v>
      </c>
      <c r="B17" s="73" t="s">
        <v>838</v>
      </c>
      <c r="C17" s="54">
        <f>Assumptions!$B$159*Assumptions!$B$160*C11</f>
        <v>0</v>
      </c>
      <c r="D17" s="54">
        <f>Assumptions!$B$159*Assumptions!$B$160*D11+Assumptions!$C$159*Assumptions!$C$160*C11</f>
        <v>48704.96039131633</v>
      </c>
      <c r="E17" s="54">
        <f>Assumptions!$B$159*Assumptions!$B$160*E11+Assumptions!$C$159*Assumptions!$C$160*D11+Assumptions!$D$159*Assumptions!$D$160*C11</f>
        <v>125978.6707625144</v>
      </c>
      <c r="F17" s="54">
        <f>Assumptions!$B$159*Assumptions!$B$160*F11+Assumptions!$C$159*Assumptions!$C$160*E11+Assumptions!$D$159*Assumptions!$D$160*D11+Assumptions!$E$159*Assumptions!$E$160*C11</f>
        <v>228270.5899622633</v>
      </c>
      <c r="G17" s="54">
        <f>Assumptions!$B$159*Assumptions!$B$160*G11+Assumptions!$C$159*Assumptions!$C$160*F11+Assumptions!$D$159*Assumptions!$D$160*E11+Assumptions!$E$159*Assumptions!$E$160*D11+Assumptions!$F$159*Assumptions!$F$160*C11</f>
        <v>346838.3257756668</v>
      </c>
    </row>
    <row r="18" spans="1:7" x14ac:dyDescent="0.3">
      <c r="A18" s="26" t="s">
        <v>840</v>
      </c>
      <c r="B18" s="73"/>
      <c r="C18" s="68">
        <f>C16+C17-C37</f>
        <v>20000</v>
      </c>
      <c r="D18" s="68">
        <f>D16+D17-D37</f>
        <v>174704.96039131633</v>
      </c>
      <c r="E18" s="68">
        <f>E16+E17-E37</f>
        <v>344378.6707625144</v>
      </c>
      <c r="F18" s="68">
        <f>F16+F17-F37</f>
        <v>533070.58996226336</v>
      </c>
      <c r="G18" s="68">
        <f>G16+G17-G37</f>
        <v>738038.32577566686</v>
      </c>
    </row>
    <row r="19" spans="1:7" x14ac:dyDescent="0.3">
      <c r="A19" s="19" t="s">
        <v>841</v>
      </c>
      <c r="B19" s="73" t="s">
        <v>834</v>
      </c>
      <c r="C19" s="54">
        <f>Assumptions!$B$159*Assumptions!$B$160*C12</f>
        <v>2572.6295494839969</v>
      </c>
      <c r="D19" s="54">
        <f>Assumptions!$B$159*Assumptions!$B$160*D12+Assumptions!$C$159*Assumptions!$C$160*C12</f>
        <v>11061.119124514746</v>
      </c>
      <c r="E19" s="54">
        <f>Assumptions!$B$159*Assumptions!$B$160*E12+Assumptions!$C$159*Assumptions!$C$160*D12+Assumptions!$D$159*Assumptions!$D$160*C12</f>
        <v>26654.902661304812</v>
      </c>
      <c r="F19" s="54">
        <f>Assumptions!$B$159*Assumptions!$B$160*F12+Assumptions!$C$159*Assumptions!$C$160*E12+Assumptions!$D$159*Assumptions!$D$160*D12+Assumptions!$E$159*Assumptions!$E$160*C12</f>
        <v>50213.954777044899</v>
      </c>
      <c r="G19" s="54">
        <f>Assumptions!$B$159*Assumptions!$B$160*G12+Assumptions!$C$159*Assumptions!$C$160*F12+Assumptions!$D$159*Assumptions!$D$160*E12+Assumptions!$E$159*Assumptions!$E$160*D12+Assumptions!$F$159*Assumptions!$F$160*C12</f>
        <v>82010.200577769428</v>
      </c>
    </row>
    <row r="20" spans="1:7" x14ac:dyDescent="0.3">
      <c r="A20" s="26" t="s">
        <v>842</v>
      </c>
      <c r="B20" s="73"/>
      <c r="C20" s="67">
        <f>C18+C19+C38+C39+C40+C46</f>
        <v>39926.504549484001</v>
      </c>
      <c r="D20" s="67">
        <f>D18+D19+D38+D39+D40+D46</f>
        <v>249652.35451583107</v>
      </c>
      <c r="E20" s="67">
        <f>E18+E19+E38+E39+E40+E46</f>
        <v>499086.17342381919</v>
      </c>
      <c r="F20" s="67">
        <f>F18+F19+F38+F39+F40+F46</f>
        <v>782063.56973930832</v>
      </c>
      <c r="G20" s="67">
        <f>G18+G19+G38+G39+G40+G46</f>
        <v>1087212.5513534362</v>
      </c>
    </row>
    <row r="23" spans="1:7" x14ac:dyDescent="0.3">
      <c r="A23" s="69" t="s">
        <v>843</v>
      </c>
      <c r="B23" s="70"/>
      <c r="C23" s="70"/>
      <c r="D23" s="70"/>
      <c r="E23" s="70"/>
      <c r="F23" s="70"/>
      <c r="G23" s="70"/>
    </row>
    <row r="24" spans="1:7" x14ac:dyDescent="0.3">
      <c r="A24" s="71" t="s">
        <v>844</v>
      </c>
      <c r="B24" s="73"/>
      <c r="C24" s="51">
        <f>Assumptions!$B$67</f>
        <v>1</v>
      </c>
      <c r="D24" s="51">
        <f>Assumptions!$B$68</f>
        <v>0.25</v>
      </c>
      <c r="E24" s="51">
        <f>Assumptions!$B$68</f>
        <v>0.25</v>
      </c>
      <c r="F24" s="51">
        <f>Assumptions!$B$68</f>
        <v>0.25</v>
      </c>
      <c r="G24" s="51">
        <f>Assumptions!$B$68</f>
        <v>0.25</v>
      </c>
    </row>
    <row r="25" spans="1:7" x14ac:dyDescent="0.3">
      <c r="A25" s="71" t="s">
        <v>845</v>
      </c>
      <c r="B25" s="73" t="s">
        <v>846</v>
      </c>
      <c r="C25" s="54">
        <f>MIN(Assumptions!$B$66*Benefits!C33,C24*(C8+C11))</f>
        <v>0</v>
      </c>
      <c r="D25" s="54">
        <f>MIN(Assumptions!$B$66*Benefits!D33,D24*(D8+D11))</f>
        <v>0</v>
      </c>
      <c r="E25" s="54">
        <f>MIN(Assumptions!$B$66*Benefits!E33,E24*(E8+E11))</f>
        <v>0</v>
      </c>
      <c r="F25" s="54">
        <f>MIN(Assumptions!$B$66*Benefits!F33,F24*(F8+F11))</f>
        <v>0</v>
      </c>
      <c r="G25" s="54">
        <f>MIN(Assumptions!$B$66*Benefits!G33,G24*(G8+G11))</f>
        <v>0</v>
      </c>
    </row>
    <row r="26" spans="1:7" x14ac:dyDescent="0.3">
      <c r="A26" s="71" t="s">
        <v>847</v>
      </c>
      <c r="B26" s="73" t="s">
        <v>846</v>
      </c>
      <c r="C26" s="54">
        <f>MIN(Assumptions!$B$66*Assumptions!$C$160*Benefits!C33,C24*Assumptions!$C$160*(C8+C11))</f>
        <v>0</v>
      </c>
      <c r="D26" s="54">
        <f>MIN(Assumptions!$B$66*Assumptions!$C$160*Benefits!D33,D24*Assumptions!$C$160*(D8+D11))</f>
        <v>0</v>
      </c>
      <c r="E26" s="54">
        <f>MIN(Assumptions!$B$66*Assumptions!$C$160*Benefits!E33,E24*Assumptions!$C$160*(E8+E11))</f>
        <v>0</v>
      </c>
      <c r="F26" s="54">
        <f>MIN(Assumptions!$B$66*Assumptions!$C$160*Benefits!F33,F24*Assumptions!$C$160*(F8+F11))</f>
        <v>0</v>
      </c>
      <c r="G26" s="54">
        <f>MIN(Assumptions!$B$66*Assumptions!$C$160*Benefits!G33,G24*Assumptions!$C$160*(G8+G11))</f>
        <v>0</v>
      </c>
    </row>
    <row r="27" spans="1:7" x14ac:dyDescent="0.3">
      <c r="A27" s="71" t="s">
        <v>848</v>
      </c>
      <c r="B27" s="73" t="s">
        <v>834</v>
      </c>
      <c r="C27" s="54">
        <f>Assumptions!$B$80*Assumptions!$B$81*12*Pools_Scenarios!C9</f>
        <v>12000</v>
      </c>
      <c r="D27" s="54">
        <f>Assumptions!$B$80*Assumptions!$B$81*12*Pools_Scenarios!D9</f>
        <v>24000</v>
      </c>
      <c r="E27" s="54">
        <f>Assumptions!$B$80*Assumptions!$B$81*12*Pools_Scenarios!E9</f>
        <v>24000</v>
      </c>
      <c r="F27" s="54">
        <f>Assumptions!$B$80*Assumptions!$B$81*12*Pools_Scenarios!F9</f>
        <v>24000</v>
      </c>
      <c r="G27" s="54">
        <f>Assumptions!$B$80*Assumptions!$B$81*12*Pools_Scenarios!G9</f>
        <v>24000</v>
      </c>
    </row>
    <row r="28" spans="1:7" x14ac:dyDescent="0.3">
      <c r="A28" s="71" t="s">
        <v>849</v>
      </c>
      <c r="B28" s="73" t="s">
        <v>850</v>
      </c>
      <c r="C28" s="54">
        <f>Pools_Scenarios!C28*Assumptions!$B$82*12</f>
        <v>4500</v>
      </c>
      <c r="D28" s="54">
        <f>Pools_Scenarios!D28*Assumptions!$B$82*12</f>
        <v>16500</v>
      </c>
      <c r="E28" s="54">
        <f>Pools_Scenarios!E28*Assumptions!$B$82*12</f>
        <v>27000</v>
      </c>
      <c r="F28" s="54">
        <f>Pools_Scenarios!F28*Assumptions!$B$82*12</f>
        <v>28500</v>
      </c>
      <c r="G28" s="54">
        <f>Pools_Scenarios!G28*Assumptions!$B$82*12</f>
        <v>22500</v>
      </c>
    </row>
    <row r="29" spans="1:7" x14ac:dyDescent="0.3">
      <c r="A29" s="71" t="s">
        <v>851</v>
      </c>
      <c r="B29" s="73" t="s">
        <v>852</v>
      </c>
      <c r="C29" s="54">
        <f>Pools_Scenarios!C63*Assumptions!$B$78*Assumptions!$B$52*Assumptions!$B$79</f>
        <v>853.875</v>
      </c>
      <c r="D29" s="54">
        <f>Pools_Scenarios!D63*Assumptions!$B$78*Assumptions!$B$52*Assumptions!$B$79</f>
        <v>2561.6250000000005</v>
      </c>
      <c r="E29" s="54">
        <f>Pools_Scenarios!E63*Assumptions!$B$78*Assumptions!$B$52*Assumptions!$B$79</f>
        <v>4554.0000000000009</v>
      </c>
      <c r="F29" s="54">
        <f>Pools_Scenarios!F63*Assumptions!$B$78*Assumptions!$B$52*Assumptions!$B$79</f>
        <v>7115.625</v>
      </c>
      <c r="G29" s="54">
        <f>Pools_Scenarios!G63*Assumptions!$B$78*Assumptions!$B$52*Assumptions!$B$79</f>
        <v>9961.8750000000018</v>
      </c>
    </row>
    <row r="31" spans="1:7" x14ac:dyDescent="0.3">
      <c r="A31" s="69" t="s">
        <v>836</v>
      </c>
      <c r="B31" s="70"/>
      <c r="C31" s="70"/>
      <c r="D31" s="70"/>
      <c r="E31" s="70"/>
      <c r="F31" s="70"/>
      <c r="G31" s="70"/>
    </row>
    <row r="32" spans="1:7" x14ac:dyDescent="0.3">
      <c r="A32" s="71" t="s">
        <v>853</v>
      </c>
      <c r="B32" s="73" t="s">
        <v>854</v>
      </c>
      <c r="C32" s="54">
        <f>Assumptions!$B$159*MIN(Assumptions!$B$66*Assumptions!$B$160*Benefits!C33,C24*Assumptions!$B$160*(C8+C11))</f>
        <v>0</v>
      </c>
      <c r="D32" s="54">
        <f>Assumptions!$B$159*MIN(Assumptions!$B$66*Assumptions!$B$160*Benefits!D33,D24*Assumptions!$B$160*(D8+D11))</f>
        <v>0</v>
      </c>
      <c r="E32" s="54">
        <f>Assumptions!$B$159*MIN(Assumptions!$B$66*Assumptions!$B$160*Benefits!E33,E24*Assumptions!$B$160*(E8+E11))</f>
        <v>0</v>
      </c>
      <c r="F32" s="54">
        <f>Assumptions!$B$159*MIN(Assumptions!$B$66*Assumptions!$B$160*Benefits!F33,F24*Assumptions!$B$160*(F8+F11))</f>
        <v>0</v>
      </c>
      <c r="G32" s="54">
        <f>Assumptions!$B$159*MIN(Assumptions!$B$66*Assumptions!$B$160*Benefits!G33,G24*Assumptions!$B$160*(G8+G11))</f>
        <v>0</v>
      </c>
    </row>
    <row r="33" spans="1:7" x14ac:dyDescent="0.3">
      <c r="A33" s="71" t="s">
        <v>855</v>
      </c>
      <c r="B33" s="73" t="s">
        <v>854</v>
      </c>
      <c r="C33" s="54">
        <f>0</f>
        <v>0</v>
      </c>
      <c r="D33" s="54">
        <f>Assumptions!$C$159*MIN(Assumptions!$B$66*Assumptions!$C$160*Benefits!C33,C24*Assumptions!$C$160*(C8+C11))</f>
        <v>0</v>
      </c>
      <c r="E33" s="54">
        <f>Assumptions!$C$159*MIN(Assumptions!$B$66*Assumptions!$C$160*Benefits!D33,D24*Assumptions!$C$160*(D8+D11))</f>
        <v>0</v>
      </c>
      <c r="F33" s="54">
        <f>Assumptions!$C$159*MIN(Assumptions!$B$66*Assumptions!$C$160*Benefits!E33,E24*Assumptions!$C$160*(E8+E11))</f>
        <v>0</v>
      </c>
      <c r="G33" s="54">
        <f>Assumptions!$C$159*MIN(Assumptions!$B$66*Assumptions!$C$160*Benefits!F33,F24*Assumptions!$C$160*(F8+F11))</f>
        <v>0</v>
      </c>
    </row>
    <row r="34" spans="1:7" x14ac:dyDescent="0.3">
      <c r="A34" s="71" t="s">
        <v>856</v>
      </c>
      <c r="B34" s="73" t="s">
        <v>854</v>
      </c>
      <c r="C34" s="54">
        <f>0</f>
        <v>0</v>
      </c>
      <c r="D34" s="54">
        <f>0</f>
        <v>0</v>
      </c>
      <c r="E34" s="54">
        <f>Assumptions!$D$159*MIN(Assumptions!$B$66*Assumptions!$D$160*Benefits!C33,C24*Assumptions!$D$160*(C8+C11))</f>
        <v>0</v>
      </c>
      <c r="F34" s="54">
        <f>Assumptions!$D$159*MIN(Assumptions!$B$66*Assumptions!$D$160*Benefits!D33,D24*Assumptions!$D$160*(D8+D11))</f>
        <v>0</v>
      </c>
      <c r="G34" s="54">
        <f>Assumptions!$D$159*MIN(Assumptions!$B$66*Assumptions!$D$160*Benefits!E33,E24*Assumptions!$D$160*(E8+E11))</f>
        <v>0</v>
      </c>
    </row>
    <row r="35" spans="1:7" x14ac:dyDescent="0.3">
      <c r="A35" s="71" t="s">
        <v>857</v>
      </c>
      <c r="B35" s="73" t="s">
        <v>854</v>
      </c>
      <c r="C35" s="54">
        <f>0</f>
        <v>0</v>
      </c>
      <c r="D35" s="54">
        <f>0</f>
        <v>0</v>
      </c>
      <c r="E35" s="54">
        <f>0</f>
        <v>0</v>
      </c>
      <c r="F35" s="54">
        <f>Assumptions!$E$159*MIN(Assumptions!$B$66*Assumptions!$E$160*Benefits!C33,C24*Assumptions!$E$160*(C8+C11))</f>
        <v>0</v>
      </c>
      <c r="G35" s="54">
        <f>Assumptions!$E$159*MIN(Assumptions!$B$66*Assumptions!$E$160*Benefits!D33,D24*Assumptions!$E$160*(D8+D11))</f>
        <v>0</v>
      </c>
    </row>
    <row r="36" spans="1:7" x14ac:dyDescent="0.3">
      <c r="A36" s="71" t="s">
        <v>858</v>
      </c>
      <c r="B36" s="73" t="s">
        <v>854</v>
      </c>
      <c r="C36" s="54">
        <f>0</f>
        <v>0</v>
      </c>
      <c r="D36" s="54">
        <f>0</f>
        <v>0</v>
      </c>
      <c r="E36" s="54">
        <f>0</f>
        <v>0</v>
      </c>
      <c r="F36" s="54">
        <f>0</f>
        <v>0</v>
      </c>
      <c r="G36" s="54">
        <f>Assumptions!$F$159*MIN(Assumptions!$B$66*Assumptions!$F$160*Benefits!C33,C24*Assumptions!$F$160*(C8+C11))</f>
        <v>0</v>
      </c>
    </row>
    <row r="37" spans="1:7" x14ac:dyDescent="0.3">
      <c r="A37" s="69" t="s">
        <v>859</v>
      </c>
      <c r="B37" s="73" t="s">
        <v>854</v>
      </c>
      <c r="C37" s="68">
        <f>SUM(C32:C36)</f>
        <v>0</v>
      </c>
      <c r="D37" s="68">
        <f>SUM(D32:D36)</f>
        <v>0</v>
      </c>
      <c r="E37" s="68">
        <f>SUM(E32:E36)</f>
        <v>0</v>
      </c>
      <c r="F37" s="68">
        <f>SUM(F32:F36)</f>
        <v>0</v>
      </c>
      <c r="G37" s="68">
        <f>SUM(G32:G36)</f>
        <v>0</v>
      </c>
    </row>
    <row r="38" spans="1:7" x14ac:dyDescent="0.3">
      <c r="A38" s="71" t="s">
        <v>860</v>
      </c>
      <c r="B38" s="73" t="s">
        <v>834</v>
      </c>
      <c r="C38" s="54">
        <f>Assumptions!$B$159*Assumptions!$B$160*C27</f>
        <v>12000</v>
      </c>
      <c r="D38" s="54">
        <f>Assumptions!$B$159*Assumptions!$B$160*D27+Assumptions!$C$159*Assumptions!$C$160*C27</f>
        <v>38400</v>
      </c>
      <c r="E38" s="54">
        <f>Assumptions!$B$159*Assumptions!$B$160*E27+Assumptions!$C$159*Assumptions!$C$160*D27+Assumptions!$D$159*Assumptions!$D$160*C27</f>
        <v>67200</v>
      </c>
      <c r="F38" s="54">
        <f>Assumptions!$B$159*Assumptions!$B$160*F27+Assumptions!$C$159*Assumptions!$C$160*E27+Assumptions!$D$159*Assumptions!$D$160*D27+Assumptions!$E$159*Assumptions!$E$160*C27</f>
        <v>96000</v>
      </c>
      <c r="G38" s="54">
        <f>Assumptions!$B$159*Assumptions!$B$160*G27+Assumptions!$C$159*Assumptions!$C$160*F27+Assumptions!$D$159*Assumptions!$D$160*E27+Assumptions!$E$159*Assumptions!$E$160*D27+Assumptions!$F$159*Assumptions!$F$160*C27</f>
        <v>124800</v>
      </c>
    </row>
    <row r="39" spans="1:7" x14ac:dyDescent="0.3">
      <c r="A39" s="71" t="s">
        <v>861</v>
      </c>
      <c r="B39" s="73" t="s">
        <v>850</v>
      </c>
      <c r="C39" s="54">
        <f>Assumptions!$B$159*Assumptions!$B$160*C28</f>
        <v>4500</v>
      </c>
      <c r="D39" s="54">
        <f>Assumptions!$B$159*Assumptions!$B$160*D28+Assumptions!$C$159*Assumptions!$C$160*C28</f>
        <v>21900</v>
      </c>
      <c r="E39" s="54">
        <f>Assumptions!$B$159*Assumptions!$B$160*E28+Assumptions!$C$159*Assumptions!$C$160*D28+Assumptions!$D$159*Assumptions!$D$160*C28</f>
        <v>52200</v>
      </c>
      <c r="F39" s="54">
        <f>Assumptions!$B$159*Assumptions!$B$160*F28+Assumptions!$C$159*Assumptions!$C$160*E28+Assumptions!$D$159*Assumptions!$D$160*D28+Assumptions!$E$159*Assumptions!$E$160*C28</f>
        <v>86100</v>
      </c>
      <c r="G39" s="54">
        <f>Assumptions!$B$159*Assumptions!$B$160*G28+Assumptions!$C$159*Assumptions!$C$160*F28+Assumptions!$D$159*Assumptions!$D$160*E28+Assumptions!$E$159*Assumptions!$E$160*D28+Assumptions!$F$159*Assumptions!$F$160*C28</f>
        <v>114300</v>
      </c>
    </row>
    <row r="40" spans="1:7" x14ac:dyDescent="0.3">
      <c r="A40" s="71" t="s">
        <v>862</v>
      </c>
      <c r="B40" s="73" t="s">
        <v>852</v>
      </c>
      <c r="C40" s="54">
        <f>Assumptions!$B$159*Assumptions!$B$160*C29</f>
        <v>853.875</v>
      </c>
      <c r="D40" s="54">
        <f>Assumptions!$B$159*Assumptions!$B$160*D29+Assumptions!$C$159*Assumptions!$C$160*C29</f>
        <v>3586.2750000000005</v>
      </c>
      <c r="E40" s="54">
        <f>Assumptions!$B$159*Assumptions!$B$160*E29+Assumptions!$C$159*Assumptions!$C$160*D29+Assumptions!$D$159*Assumptions!$D$160*C29</f>
        <v>8652.6</v>
      </c>
      <c r="F40" s="54">
        <f>Assumptions!$B$159*Assumptions!$B$160*F29+Assumptions!$C$159*Assumptions!$C$160*E29+Assumptions!$D$159*Assumptions!$D$160*D29+Assumptions!$E$159*Assumptions!$E$160*C29</f>
        <v>16679.025000000001</v>
      </c>
      <c r="G40" s="54">
        <f>Assumptions!$B$159*Assumptions!$B$160*G29+Assumptions!$C$159*Assumptions!$C$160*F29+Assumptions!$D$159*Assumptions!$D$160*E29+Assumptions!$E$159*Assumptions!$E$160*D29+Assumptions!$F$159*Assumptions!$F$160*C29</f>
        <v>28064.025000000005</v>
      </c>
    </row>
    <row r="42" spans="1:7" x14ac:dyDescent="0.3">
      <c r="A42" s="69" t="s">
        <v>863</v>
      </c>
      <c r="B42" s="70"/>
      <c r="C42" s="70"/>
      <c r="D42" s="70"/>
      <c r="E42" s="70"/>
      <c r="F42" s="70"/>
      <c r="G42" s="70"/>
    </row>
    <row r="43" spans="1:7" x14ac:dyDescent="0.3">
      <c r="A43" s="71" t="s">
        <v>864</v>
      </c>
      <c r="B43" s="73" t="s">
        <v>865</v>
      </c>
      <c r="C43" s="54">
        <f>Pools_Scenarios!C72</f>
        <v>0</v>
      </c>
      <c r="D43" s="54">
        <f>Pools_Scenarios!D72</f>
        <v>0</v>
      </c>
      <c r="E43" s="54">
        <f>Pools_Scenarios!E72</f>
        <v>0</v>
      </c>
      <c r="F43" s="54">
        <f>Pools_Scenarios!F72</f>
        <v>0</v>
      </c>
      <c r="G43" s="54">
        <f>Pools_Scenarios!G72</f>
        <v>0</v>
      </c>
    </row>
    <row r="44" spans="1:7" x14ac:dyDescent="0.3">
      <c r="A44" s="71" t="s">
        <v>866</v>
      </c>
      <c r="B44" s="73" t="s">
        <v>867</v>
      </c>
      <c r="C44" s="54">
        <f>-Pools_Scenarios!C73</f>
        <v>0</v>
      </c>
      <c r="D44" s="54">
        <f>-Pools_Scenarios!D73</f>
        <v>0</v>
      </c>
      <c r="E44" s="54">
        <f>-Pools_Scenarios!E73</f>
        <v>0</v>
      </c>
      <c r="F44" s="54">
        <f>-Pools_Scenarios!F73</f>
        <v>0</v>
      </c>
      <c r="G44" s="54">
        <f>-Pools_Scenarios!G73</f>
        <v>0</v>
      </c>
    </row>
    <row r="45" spans="1:7" x14ac:dyDescent="0.3">
      <c r="A45" s="69" t="s">
        <v>868</v>
      </c>
      <c r="B45" s="73"/>
      <c r="C45" s="68">
        <f>C43+C44</f>
        <v>0</v>
      </c>
      <c r="D45" s="68">
        <f>D43+D44</f>
        <v>0</v>
      </c>
      <c r="E45" s="68">
        <f>E43+E44</f>
        <v>0</v>
      </c>
      <c r="F45" s="68">
        <f>F43+F44</f>
        <v>0</v>
      </c>
      <c r="G45" s="68">
        <f>G43+G44</f>
        <v>0</v>
      </c>
    </row>
    <row r="46" spans="1:7" x14ac:dyDescent="0.3">
      <c r="A46" s="69" t="s">
        <v>869</v>
      </c>
      <c r="B46" s="73"/>
      <c r="C46" s="68">
        <f>Assumptions!$B$159*Assumptions!$B$160*C45</f>
        <v>0</v>
      </c>
      <c r="D46" s="68">
        <f>Assumptions!$B$159*Assumptions!$B$160*D45+Assumptions!$C$159*Assumptions!$C$160*C45</f>
        <v>0</v>
      </c>
      <c r="E46" s="68">
        <f>Assumptions!$B$159*Assumptions!$B$160*E45+Assumptions!$C$159*Assumptions!$C$160*D45+Assumptions!$D$159*Assumptions!$D$160*C45</f>
        <v>0</v>
      </c>
      <c r="F46" s="68">
        <f>Assumptions!$B$159*Assumptions!$B$160*F45+Assumptions!$C$159*Assumptions!$C$160*E45+Assumptions!$D$159*Assumptions!$D$160*D45+Assumptions!$E$159*Assumptions!$E$160*C45</f>
        <v>0</v>
      </c>
      <c r="G46" s="68">
        <f>Assumptions!$B$159*Assumptions!$B$160*G45+Assumptions!$C$159*Assumptions!$C$160*F45+Assumptions!$D$159*Assumptions!$D$160*E45+Assumptions!$E$159*Assumptions!$E$160*D45+Assumptions!$F$159*Assumptions!$F$160*C45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66" customWidth="1"/>
    <col min="2" max="2" width="2" customWidth="1"/>
    <col min="3" max="7" width="14" customWidth="1"/>
  </cols>
  <sheetData>
    <row r="1" spans="1:7" ht="17.399999999999999" x14ac:dyDescent="0.3">
      <c r="A1" s="104" t="s">
        <v>1117</v>
      </c>
    </row>
    <row r="2" spans="1:7" x14ac:dyDescent="0.3">
      <c r="A2" s="14" t="s">
        <v>870</v>
      </c>
    </row>
    <row r="4" spans="1:7" x14ac:dyDescent="0.3">
      <c r="A4" s="20" t="s">
        <v>564</v>
      </c>
      <c r="B4" s="21"/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871</v>
      </c>
      <c r="B5" s="41"/>
      <c r="C5" s="41"/>
      <c r="D5" s="41"/>
      <c r="E5" s="41"/>
      <c r="F5" s="41"/>
      <c r="G5" s="41"/>
    </row>
    <row r="6" spans="1:7" x14ac:dyDescent="0.3">
      <c r="A6" s="19" t="s">
        <v>872</v>
      </c>
      <c r="C6" s="22">
        <f>Benefits!C12</f>
        <v>146768.54968588319</v>
      </c>
      <c r="D6" s="22">
        <f>Benefits!D12</f>
        <v>334156.78283420525</v>
      </c>
      <c r="E6" s="22">
        <f>Benefits!E12</f>
        <v>411981.54174491717</v>
      </c>
      <c r="F6" s="22">
        <f>Benefits!F12</f>
        <v>479239.97068669548</v>
      </c>
      <c r="G6" s="22">
        <f>Benefits!G12</f>
        <v>520421.29366381397</v>
      </c>
    </row>
    <row r="7" spans="1:7" x14ac:dyDescent="0.3">
      <c r="A7" s="19" t="s">
        <v>873</v>
      </c>
      <c r="C7" s="22">
        <f>Pricing_Income!C13</f>
        <v>20000</v>
      </c>
      <c r="D7" s="22">
        <f>Pricing_Income!D13</f>
        <v>150704.96039131633</v>
      </c>
      <c r="E7" s="22">
        <f>Pricing_Income!E13</f>
        <v>139532.71829293482</v>
      </c>
      <c r="F7" s="22">
        <f>Pricing_Income!F13</f>
        <v>160785.37554116195</v>
      </c>
      <c r="G7" s="22">
        <f>Pricing_Income!G13</f>
        <v>172810.66070517112</v>
      </c>
    </row>
    <row r="8" spans="1:7" x14ac:dyDescent="0.3">
      <c r="A8" s="26" t="s">
        <v>874</v>
      </c>
      <c r="C8" s="67">
        <f>C6-C7</f>
        <v>126768.54968588319</v>
      </c>
      <c r="D8" s="67">
        <f>D6-D7</f>
        <v>183451.82244288892</v>
      </c>
      <c r="E8" s="67">
        <f>E6-E7</f>
        <v>272448.82345198235</v>
      </c>
      <c r="F8" s="67">
        <f>F6-F7</f>
        <v>318454.59514553356</v>
      </c>
      <c r="G8" s="67">
        <f>G6-G7</f>
        <v>347610.63295864285</v>
      </c>
    </row>
    <row r="9" spans="1:7" x14ac:dyDescent="0.3">
      <c r="A9" s="26" t="s">
        <v>875</v>
      </c>
      <c r="C9" s="68">
        <f>C8</f>
        <v>126768.54968588319</v>
      </c>
      <c r="D9" s="68">
        <f>C9+D8</f>
        <v>310220.37212877208</v>
      </c>
      <c r="E9" s="68">
        <f>D9+E8</f>
        <v>582669.19558075443</v>
      </c>
      <c r="F9" s="68">
        <f>E9+F8</f>
        <v>901123.79072628799</v>
      </c>
      <c r="G9" s="68">
        <f>F9+G8</f>
        <v>1248734.4236849309</v>
      </c>
    </row>
    <row r="10" spans="1:7" x14ac:dyDescent="0.3">
      <c r="A10" s="19" t="s">
        <v>876</v>
      </c>
      <c r="C10" s="54">
        <f>Benefits!C10-C7</f>
        <v>22768.549685883198</v>
      </c>
      <c r="D10" s="102">
        <f>Benefits!D10-D7</f>
        <v>-24548.177557111063</v>
      </c>
      <c r="E10" s="54">
        <f>Benefits!E10-E7</f>
        <v>64448.823451982316</v>
      </c>
      <c r="F10" s="54">
        <f>Benefits!F10-F7</f>
        <v>110454.59514553353</v>
      </c>
      <c r="G10" s="54">
        <f>Benefits!G10-G7</f>
        <v>139610.63295864285</v>
      </c>
    </row>
    <row r="11" spans="1:7" x14ac:dyDescent="0.3">
      <c r="A11" s="19" t="s">
        <v>877</v>
      </c>
      <c r="C11" s="86">
        <f>IF(C7&lt;=0,"n/a",C6/C7)</f>
        <v>7.3384274842941597</v>
      </c>
      <c r="D11" s="86">
        <f>IF(D7&lt;=0,"n/a",D6/D7)</f>
        <v>2.2172912024033118</v>
      </c>
      <c r="E11" s="86">
        <f>IF(E7&lt;=0,"n/a",E6/E7)</f>
        <v>2.952580203304028</v>
      </c>
      <c r="F11" s="86">
        <f>IF(F7&lt;=0,"n/a",F6/F7)</f>
        <v>2.9806191581398358</v>
      </c>
      <c r="G11" s="86">
        <f>IF(G7&lt;=0,"n/a",G6/G7)</f>
        <v>3.01151150941836</v>
      </c>
    </row>
    <row r="13" spans="1:7" x14ac:dyDescent="0.3">
      <c r="A13" s="40" t="s">
        <v>878</v>
      </c>
      <c r="B13" s="41"/>
      <c r="C13" s="41"/>
      <c r="D13" s="41"/>
      <c r="E13" s="41"/>
      <c r="F13" s="41"/>
      <c r="G13" s="41"/>
    </row>
    <row r="14" spans="1:7" x14ac:dyDescent="0.3">
      <c r="A14" s="19" t="s">
        <v>872</v>
      </c>
      <c r="C14" s="22">
        <f>Benefits!C12*Assumptions!$C$160</f>
        <v>88061.129811529914</v>
      </c>
      <c r="D14" s="22">
        <f>Benefits!D12*Assumptions!$C$160</f>
        <v>200494.06970052313</v>
      </c>
      <c r="E14" s="22">
        <f>Benefits!E12*Assumptions!$C$160</f>
        <v>247188.92504695029</v>
      </c>
      <c r="F14" s="22">
        <f>Benefits!F12*Assumptions!$C$160</f>
        <v>287543.9824120173</v>
      </c>
      <c r="G14" s="22">
        <f>Benefits!G12*Assumptions!$C$160</f>
        <v>312252.77619828837</v>
      </c>
    </row>
    <row r="15" spans="1:7" x14ac:dyDescent="0.3">
      <c r="A15" s="19" t="s">
        <v>873</v>
      </c>
      <c r="C15" s="22">
        <f>(Pricing_Income!C8+Pricing_Income!C11)*Assumptions!$C$160-Pricing_Income!C26</f>
        <v>12000</v>
      </c>
      <c r="D15" s="22">
        <f>(Pricing_Income!D8+Pricing_Income!D11)*Assumptions!$C$160-Pricing_Income!D26</f>
        <v>90422.976234789792</v>
      </c>
      <c r="E15" s="22">
        <f>(Pricing_Income!E8+Pricing_Income!E11)*Assumptions!$C$160-Pricing_Income!E26</f>
        <v>83719.630975760883</v>
      </c>
      <c r="F15" s="22">
        <f>(Pricing_Income!F8+Pricing_Income!F11)*Assumptions!$C$160-Pricing_Income!F26</f>
        <v>96471.225324697167</v>
      </c>
      <c r="G15" s="22">
        <f>(Pricing_Income!G8+Pricing_Income!G11)*Assumptions!$C$160-Pricing_Income!G26</f>
        <v>103686.39642310266</v>
      </c>
    </row>
    <row r="16" spans="1:7" x14ac:dyDescent="0.3">
      <c r="A16" s="26" t="s">
        <v>874</v>
      </c>
      <c r="C16" s="67">
        <f>C14-C15</f>
        <v>76061.129811529914</v>
      </c>
      <c r="D16" s="67">
        <f>D14-D15</f>
        <v>110071.09346573334</v>
      </c>
      <c r="E16" s="67">
        <f>E14-E15</f>
        <v>163469.29407118942</v>
      </c>
      <c r="F16" s="67">
        <f>F14-F15</f>
        <v>191072.75708732015</v>
      </c>
      <c r="G16" s="67">
        <f>G14-G15</f>
        <v>208566.37977518572</v>
      </c>
    </row>
    <row r="17" spans="1:7" x14ac:dyDescent="0.3">
      <c r="A17" s="19" t="s">
        <v>876</v>
      </c>
      <c r="C17" s="54">
        <f>Benefits!C10*Assumptions!$C$160-C15</f>
        <v>13661.129811529918</v>
      </c>
      <c r="D17" s="102">
        <f>Benefits!D10*Assumptions!$C$160-D15</f>
        <v>-14728.906534266629</v>
      </c>
      <c r="E17" s="54">
        <f>Benefits!E10*Assumptions!$C$160-E15</f>
        <v>38669.29407118939</v>
      </c>
      <c r="F17" s="54">
        <f>Benefits!F10*Assumptions!$C$160-F15</f>
        <v>66272.757087320104</v>
      </c>
      <c r="G17" s="54">
        <f>Benefits!G10*Assumptions!$C$160-G15</f>
        <v>83766.379775185706</v>
      </c>
    </row>
    <row r="19" spans="1:7" x14ac:dyDescent="0.3">
      <c r="A19" s="40" t="s">
        <v>879</v>
      </c>
      <c r="B19" s="41"/>
      <c r="C19" s="41"/>
      <c r="D19" s="41"/>
      <c r="E19" s="41"/>
      <c r="F19" s="41"/>
      <c r="G19" s="41"/>
    </row>
    <row r="20" spans="1:7" x14ac:dyDescent="0.3">
      <c r="A20" s="26" t="s">
        <v>880</v>
      </c>
      <c r="C20" s="87" t="str">
        <f>IF(C8&gt;0,"YES","NO")</f>
        <v>YES</v>
      </c>
      <c r="D20" s="87"/>
      <c r="E20" s="87"/>
      <c r="F20" s="87"/>
      <c r="G20" s="87"/>
    </row>
    <row r="21" spans="1:7" x14ac:dyDescent="0.3">
      <c r="A21" s="26" t="s">
        <v>881</v>
      </c>
      <c r="C21" s="87" t="str">
        <f>IF(C16&gt;0,"YES","NO")</f>
        <v>YES</v>
      </c>
      <c r="D21" s="87"/>
      <c r="E21" s="87"/>
      <c r="F21" s="87"/>
      <c r="G21" s="87"/>
    </row>
    <row r="23" spans="1:7" x14ac:dyDescent="0.3">
      <c r="A23" s="69" t="s">
        <v>882</v>
      </c>
      <c r="B23" s="70"/>
      <c r="C23" s="70"/>
      <c r="D23" s="70"/>
      <c r="E23" s="70"/>
      <c r="F23" s="70"/>
      <c r="G23" s="70"/>
    </row>
    <row r="24" spans="1:7" x14ac:dyDescent="0.3">
      <c r="A24" s="71" t="s">
        <v>883</v>
      </c>
      <c r="C24" s="22">
        <f>Pricing_Income!C25</f>
        <v>0</v>
      </c>
      <c r="D24" s="22">
        <f>Pricing_Income!D25</f>
        <v>0</v>
      </c>
      <c r="E24" s="22">
        <f>Pricing_Income!E25</f>
        <v>0</v>
      </c>
      <c r="F24" s="22">
        <f>Pricing_Income!F25</f>
        <v>0</v>
      </c>
      <c r="G24" s="22">
        <f>Pricing_Income!G25</f>
        <v>0</v>
      </c>
    </row>
    <row r="25" spans="1:7" x14ac:dyDescent="0.3">
      <c r="A25" s="69" t="s">
        <v>884</v>
      </c>
      <c r="C25" s="68">
        <f>Benefits!C10+MIN(Benefits!C11,Benefits!C32)-C7</f>
        <v>74768.54968588319</v>
      </c>
      <c r="D25" s="68">
        <f>Benefits!D10+MIN(Benefits!D11,Benefits!D32)-D7</f>
        <v>79451.822442888923</v>
      </c>
      <c r="E25" s="68">
        <f>Benefits!E10+MIN(Benefits!E11,Benefits!E32)-E7</f>
        <v>168448.82345198235</v>
      </c>
      <c r="F25" s="68">
        <f>Benefits!F10+MIN(Benefits!F11,Benefits!F32)-F7</f>
        <v>214454.59514553353</v>
      </c>
      <c r="G25" s="68">
        <f>Benefits!G10+MIN(Benefits!G11,Benefits!G32)-G7</f>
        <v>243610.63295864285</v>
      </c>
    </row>
    <row r="26" spans="1:7" x14ac:dyDescent="0.3">
      <c r="A26" s="71" t="s">
        <v>885</v>
      </c>
      <c r="C26" s="22">
        <f>Pricing_Income!C26</f>
        <v>0</v>
      </c>
      <c r="D26" s="22">
        <f>Pricing_Income!D26</f>
        <v>0</v>
      </c>
      <c r="E26" s="22">
        <f>Pricing_Income!E26</f>
        <v>0</v>
      </c>
      <c r="F26" s="22">
        <f>Pricing_Income!F26</f>
        <v>0</v>
      </c>
      <c r="G26" s="22">
        <f>Pricing_Income!G26</f>
        <v>0</v>
      </c>
    </row>
    <row r="27" spans="1:7" x14ac:dyDescent="0.3">
      <c r="A27" s="69" t="s">
        <v>886</v>
      </c>
      <c r="C27" s="87" t="str">
        <f>IF(C10&gt;0,"YES","NO")</f>
        <v>YES</v>
      </c>
      <c r="D27" s="87"/>
      <c r="E27" s="87"/>
      <c r="F27" s="87"/>
      <c r="G27" s="87"/>
    </row>
    <row r="28" spans="1:7" x14ac:dyDescent="0.3">
      <c r="A28" s="69" t="s">
        <v>887</v>
      </c>
      <c r="C28" s="87" t="str">
        <f>IF(C17&gt;0,"YES","NO")</f>
        <v>YES</v>
      </c>
      <c r="D28" s="87"/>
      <c r="E28" s="87"/>
      <c r="F28" s="87"/>
      <c r="G28" s="87"/>
    </row>
    <row r="29" spans="1:7" x14ac:dyDescent="0.3">
      <c r="A29" s="71" t="s">
        <v>888</v>
      </c>
      <c r="C29" s="54">
        <f>C8-Benefits!C34-Pools_Scenarios!C45*Assumptions!$B$148*(1+Assumptions!$B$149)*Assumptions!$B$150</f>
        <v>33383.649685883196</v>
      </c>
      <c r="D29" s="54">
        <f>D8-Benefits!D34-Pools_Scenarios!D45*Assumptions!$B$148*(1+Assumptions!$B$149)*Assumptions!$B$150</f>
        <v>104331.02244288892</v>
      </c>
      <c r="E29" s="54">
        <f>E8-Benefits!E34-Pools_Scenarios!E45*Assumptions!$B$148*(1+Assumptions!$B$149)*Assumptions!$B$150</f>
        <v>196276.42345198232</v>
      </c>
      <c r="F29" s="54">
        <f>F8-Benefits!F34-Pools_Scenarios!F45*Assumptions!$B$148*(1+Assumptions!$B$149)*Assumptions!$B$150</f>
        <v>240759.39514553355</v>
      </c>
      <c r="G29" s="54">
        <f>G8-Benefits!G34-Pools_Scenarios!G45*Assumptions!$B$148*(1+Assumptions!$B$149)*Assumptions!$B$150</f>
        <v>302607.03295864287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topLeftCell="A26" zoomScaleNormal="100" workbookViewId="0">
      <selection activeCell="A17" sqref="A17"/>
    </sheetView>
  </sheetViews>
  <sheetFormatPr defaultColWidth="8.6640625" defaultRowHeight="14.4" x14ac:dyDescent="0.3"/>
  <cols>
    <col min="1" max="1" width="70" customWidth="1"/>
    <col min="2" max="3" width="14" customWidth="1"/>
    <col min="4" max="4" width="50" customWidth="1"/>
  </cols>
  <sheetData>
    <row r="1" spans="1:4" ht="17.399999999999999" x14ac:dyDescent="0.3">
      <c r="A1" s="104" t="s">
        <v>889</v>
      </c>
    </row>
    <row r="2" spans="1:4" x14ac:dyDescent="0.3">
      <c r="A2" s="14" t="s">
        <v>890</v>
      </c>
    </row>
    <row r="4" spans="1:4" x14ac:dyDescent="0.3">
      <c r="A4" s="20" t="s">
        <v>564</v>
      </c>
      <c r="B4" s="21" t="s">
        <v>18</v>
      </c>
      <c r="C4" s="21" t="s">
        <v>19</v>
      </c>
      <c r="D4" s="21" t="s">
        <v>891</v>
      </c>
    </row>
    <row r="5" spans="1:4" x14ac:dyDescent="0.3">
      <c r="A5" s="40" t="s">
        <v>892</v>
      </c>
      <c r="B5" s="41"/>
      <c r="C5" s="41"/>
      <c r="D5" s="41"/>
    </row>
    <row r="6" spans="1:4" x14ac:dyDescent="0.3">
      <c r="A6" s="19" t="s">
        <v>893</v>
      </c>
      <c r="B6" s="24">
        <f>Assumptions!$B$19</f>
        <v>0.05</v>
      </c>
      <c r="C6" s="24">
        <f>Assumptions!$B$19</f>
        <v>0.05</v>
      </c>
      <c r="D6" s="73"/>
    </row>
    <row r="7" spans="1:4" x14ac:dyDescent="0.3">
      <c r="A7" s="19" t="s">
        <v>894</v>
      </c>
      <c r="B7" s="24">
        <f>Assumptions!$B$71</f>
        <v>4.4999999999999998E-2</v>
      </c>
      <c r="C7" s="24">
        <f>Assumptions!$B$71</f>
        <v>4.4999999999999998E-2</v>
      </c>
      <c r="D7" s="73"/>
    </row>
    <row r="8" spans="1:4" x14ac:dyDescent="0.3">
      <c r="A8" s="19" t="s">
        <v>895</v>
      </c>
      <c r="B8" s="88">
        <f>MAX(B6,B7)</f>
        <v>0.05</v>
      </c>
      <c r="C8" s="88">
        <f>MAX(C6,C7)</f>
        <v>0.05</v>
      </c>
      <c r="D8" s="73"/>
    </row>
    <row r="9" spans="1:4" x14ac:dyDescent="0.3">
      <c r="A9" s="19" t="s">
        <v>896</v>
      </c>
      <c r="B9" s="48">
        <f>(1+((1+Assumptions!$B$19)^Assumptions!$B$20-(1+Assumptions!$B$19))/((1+Assumptions!$B$19)^Assumptions!$B$20-1))/2</f>
        <v>0.90951260093586583</v>
      </c>
      <c r="C9" s="48">
        <f>(1+((1+Assumptions!$B$19)^Assumptions!$B$20-(1+Assumptions!$B$19))/((1+Assumptions!$B$19)^Assumptions!$B$20-1))/2</f>
        <v>0.90951260093586583</v>
      </c>
      <c r="D9" s="73" t="s">
        <v>897</v>
      </c>
    </row>
    <row r="10" spans="1:4" x14ac:dyDescent="0.3">
      <c r="A10" s="26" t="s">
        <v>898</v>
      </c>
      <c r="B10" s="81">
        <f>1000*B8*B9</f>
        <v>45.475630046793292</v>
      </c>
      <c r="C10" s="81">
        <f>1000*C8*C9</f>
        <v>45.475630046793292</v>
      </c>
      <c r="D10" s="73"/>
    </row>
    <row r="11" spans="1:4" x14ac:dyDescent="0.3">
      <c r="A11" s="26" t="s">
        <v>899</v>
      </c>
      <c r="B11" s="89">
        <f>B10/1000</f>
        <v>4.5475630046793294E-2</v>
      </c>
      <c r="C11" s="89">
        <f>C10/1000</f>
        <v>4.5475630046793294E-2</v>
      </c>
      <c r="D11" s="73"/>
    </row>
    <row r="12" spans="1:4" x14ac:dyDescent="0.3">
      <c r="A12" s="19" t="s">
        <v>900</v>
      </c>
      <c r="B12" s="90">
        <f>(Assumptions!$B$17*1000*Assumptions!$B$89*(1-Assumptions!$B$90)*(1-Assumptions!$B$93)-Assumptions!$B$16*1000*(Assumptions!$B$91+Assumptions!$B$92))/(Assumptions!$B$16*1000*Assumptions!$B$18*PMT(Assumptions!$B$19,Assumptions!$B$20,-1))</f>
        <v>1.6332499752801577</v>
      </c>
      <c r="C12" s="90">
        <f>(Assumptions!$B$17*1000*Assumptions!$B$89*(1-Assumptions!$B$90)*(1-Assumptions!$B$93)-Assumptions!$B$16*1000*(Assumptions!$B$91+Assumptions!$B$92))/(Assumptions!$B$16*1000*Pools_Scenarios!$C$101*PMT(Assumptions!$B$19,Assumptions!$B$20,-1))</f>
        <v>2.4498749629202363</v>
      </c>
      <c r="D12" s="73" t="s">
        <v>901</v>
      </c>
    </row>
    <row r="14" spans="1:4" x14ac:dyDescent="0.3">
      <c r="A14" s="40" t="s">
        <v>902</v>
      </c>
      <c r="B14" s="41"/>
      <c r="C14" s="41"/>
      <c r="D14" s="41"/>
    </row>
    <row r="15" spans="1:4" x14ac:dyDescent="0.3">
      <c r="A15" s="19" t="s">
        <v>893</v>
      </c>
      <c r="B15" s="24">
        <f>Assumptions!$B$26</f>
        <v>6.5000000000000002E-2</v>
      </c>
      <c r="C15" s="24">
        <f>Assumptions!$B$26</f>
        <v>6.5000000000000002E-2</v>
      </c>
      <c r="D15" s="73"/>
    </row>
    <row r="16" spans="1:4" x14ac:dyDescent="0.3">
      <c r="A16" s="19" t="s">
        <v>896</v>
      </c>
      <c r="B16" s="48">
        <f>(1+((1+Assumptions!$B$26)^Assumptions!$B$27-(1+Assumptions!$B$26))/((1+Assumptions!$B$26)^Assumptions!$B$27-1))/2</f>
        <v>0.84371214903609459</v>
      </c>
      <c r="C16" s="48">
        <f>(1+((1+Assumptions!$B$26)^Assumptions!$B$27-(1+Assumptions!$B$26))/((1+Assumptions!$B$26)^Assumptions!$B$27-1))/2</f>
        <v>0.84371214903609459</v>
      </c>
      <c r="D16" s="73"/>
    </row>
    <row r="17" spans="1:4" x14ac:dyDescent="0.3">
      <c r="A17" s="19" t="s">
        <v>903</v>
      </c>
      <c r="B17" s="79">
        <f>1000*B15*B16</f>
        <v>54.841289687346148</v>
      </c>
      <c r="C17" s="79">
        <f>1000*C15*C16</f>
        <v>54.841289687346148</v>
      </c>
      <c r="D17" s="73"/>
    </row>
    <row r="18" spans="1:4" x14ac:dyDescent="0.3">
      <c r="A18" s="19" t="s">
        <v>904</v>
      </c>
      <c r="B18" s="79">
        <f>MAX(Assumptions!$B$24,Assumptions!$B$72)*Assumptions!$B$25</f>
        <v>800</v>
      </c>
      <c r="C18" s="79">
        <f>MAX(Pools_Scenarios!$C$85,Assumptions!$B$72)*Assumptions!$B$25</f>
        <v>640</v>
      </c>
      <c r="D18" s="73" t="s">
        <v>905</v>
      </c>
    </row>
    <row r="19" spans="1:4" x14ac:dyDescent="0.3">
      <c r="A19" s="19" t="s">
        <v>906</v>
      </c>
      <c r="B19" s="54">
        <f>PMT(Assumptions!$B$26/12,Assumptions!$B$27*12,-Assumptions!$B$23)*12</f>
        <v>7355.7606903623491</v>
      </c>
      <c r="C19" s="54">
        <f>PMT(Assumptions!$B$26/12,Assumptions!$B$27*12,-Assumptions!$B$23)*12</f>
        <v>7355.7606903623491</v>
      </c>
      <c r="D19" s="73"/>
    </row>
    <row r="20" spans="1:4" x14ac:dyDescent="0.3">
      <c r="A20" s="19" t="s">
        <v>907</v>
      </c>
      <c r="B20" s="54">
        <f>B18*12-B19</f>
        <v>2244.2393096376509</v>
      </c>
      <c r="C20" s="54">
        <f>C18*12-C19</f>
        <v>324.23930963765088</v>
      </c>
      <c r="D20" s="73"/>
    </row>
    <row r="21" spans="1:4" x14ac:dyDescent="0.3">
      <c r="A21" s="19" t="s">
        <v>908</v>
      </c>
      <c r="B21" s="54">
        <f>MAX(0,B20)*(1-Assumptions!$B$28)</f>
        <v>1122.1196548188254</v>
      </c>
      <c r="C21" s="54">
        <f>MAX(0,C20)*(1-Assumptions!$B$28)</f>
        <v>162.11965481882544</v>
      </c>
      <c r="D21" s="73"/>
    </row>
    <row r="22" spans="1:4" x14ac:dyDescent="0.3">
      <c r="A22" s="19" t="s">
        <v>618</v>
      </c>
      <c r="B22" s="54">
        <f>Assumptions!$B$23*Assumptions!$B$73*Assumptions!$B$74</f>
        <v>200</v>
      </c>
      <c r="C22" s="54">
        <f>Assumptions!$B$23*Pools_Scenarios!$C$91*Assumptions!$B$74</f>
        <v>1000</v>
      </c>
      <c r="D22" s="73"/>
    </row>
    <row r="23" spans="1:4" x14ac:dyDescent="0.3">
      <c r="A23" s="19" t="s">
        <v>909</v>
      </c>
      <c r="B23" s="79">
        <f>(MAX(0,B22-B21)+MAX(0,-B20))/Assumptions!$B$23*1000</f>
        <v>0</v>
      </c>
      <c r="C23" s="79">
        <f>(MAX(0,C22-C21)+MAX(0,-C20))/Assumptions!$B$23*1000</f>
        <v>41.894017259058728</v>
      </c>
      <c r="D23" s="73"/>
    </row>
    <row r="24" spans="1:4" x14ac:dyDescent="0.3">
      <c r="A24" s="26" t="s">
        <v>910</v>
      </c>
      <c r="B24" s="81">
        <f>B17-B23</f>
        <v>54.841289687346148</v>
      </c>
      <c r="C24" s="81">
        <f>C17-C23</f>
        <v>12.94727242828742</v>
      </c>
      <c r="D24" s="73"/>
    </row>
    <row r="25" spans="1:4" x14ac:dyDescent="0.3">
      <c r="A25" s="26" t="s">
        <v>899</v>
      </c>
      <c r="B25" s="89">
        <f>B24/1000</f>
        <v>5.4841289687346147E-2</v>
      </c>
      <c r="C25" s="89">
        <f>C24/1000</f>
        <v>1.294727242828742E-2</v>
      </c>
      <c r="D25" s="73"/>
    </row>
    <row r="27" spans="1:4" x14ac:dyDescent="0.3">
      <c r="A27" s="40" t="s">
        <v>911</v>
      </c>
      <c r="B27" s="41"/>
      <c r="C27" s="41"/>
      <c r="D27" s="41"/>
    </row>
    <row r="28" spans="1:4" x14ac:dyDescent="0.3">
      <c r="A28" s="19" t="s">
        <v>912</v>
      </c>
      <c r="B28" s="65">
        <f>EV_Pilot!B9</f>
        <v>60</v>
      </c>
      <c r="C28" s="65">
        <f>EV_Pilot!C9</f>
        <v>27</v>
      </c>
      <c r="D28" s="73"/>
    </row>
    <row r="29" spans="1:4" x14ac:dyDescent="0.3">
      <c r="A29" s="19" t="s">
        <v>913</v>
      </c>
      <c r="B29" s="22">
        <f>EV_Pilot!B65</f>
        <v>0</v>
      </c>
      <c r="C29" s="22">
        <f>EV_Pilot!C65</f>
        <v>3000</v>
      </c>
      <c r="D29" s="73" t="s">
        <v>914</v>
      </c>
    </row>
    <row r="30" spans="1:4" x14ac:dyDescent="0.3">
      <c r="A30" s="19" t="s">
        <v>504</v>
      </c>
      <c r="B30" s="91">
        <f>Assumptions!$B$137</f>
        <v>7</v>
      </c>
      <c r="C30" s="91">
        <f>Assumptions!$B$137</f>
        <v>7</v>
      </c>
      <c r="D30" s="73" t="s">
        <v>915</v>
      </c>
    </row>
    <row r="31" spans="1:4" x14ac:dyDescent="0.3">
      <c r="A31" s="19" t="s">
        <v>916</v>
      </c>
      <c r="B31" s="79">
        <f>EV_Pilot!B56/EV_Pilot!B53*1000</f>
        <v>179.59479999999996</v>
      </c>
      <c r="C31" s="79">
        <f>EV_Pilot!C56/EV_Pilot!C53*1000</f>
        <v>0</v>
      </c>
      <c r="D31" s="73" t="s">
        <v>917</v>
      </c>
    </row>
    <row r="32" spans="1:4" x14ac:dyDescent="0.3">
      <c r="A32" s="19" t="s">
        <v>918</v>
      </c>
      <c r="B32" s="76">
        <f>EV_Pilot!B70</f>
        <v>179.59479999999996</v>
      </c>
      <c r="C32" s="76">
        <f>EV_Pilot!C70</f>
        <v>85.714285714285708</v>
      </c>
      <c r="D32" s="73"/>
    </row>
    <row r="33" spans="1:4" x14ac:dyDescent="0.3">
      <c r="A33" s="26" t="s">
        <v>919</v>
      </c>
      <c r="B33" s="81">
        <f>B32-1000/B30</f>
        <v>36.737657142857103</v>
      </c>
      <c r="C33" s="105">
        <f>C32-1000/C30</f>
        <v>-57.142857142857153</v>
      </c>
      <c r="D33" s="73"/>
    </row>
    <row r="34" spans="1:4" x14ac:dyDescent="0.3">
      <c r="A34" s="26" t="s">
        <v>899</v>
      </c>
      <c r="B34" s="89">
        <f>B33/1000</f>
        <v>3.6737657142857101E-2</v>
      </c>
      <c r="C34" s="106">
        <f>C33/1000</f>
        <v>-5.7142857142857155E-2</v>
      </c>
      <c r="D34" s="73"/>
    </row>
    <row r="35" spans="1:4" x14ac:dyDescent="0.3">
      <c r="A35" s="19" t="s">
        <v>920</v>
      </c>
      <c r="B35" s="25">
        <f>EV_Pilot!B86</f>
        <v>1.2870960666666664</v>
      </c>
      <c r="C35" s="25">
        <f>EV_Pilot!C86</f>
        <v>0.59999999999999987</v>
      </c>
      <c r="D35" s="73"/>
    </row>
    <row r="36" spans="1:4" x14ac:dyDescent="0.3">
      <c r="A36" s="26" t="s">
        <v>921</v>
      </c>
      <c r="B36" s="82">
        <f>MAX(0,1-B35)</f>
        <v>0</v>
      </c>
      <c r="C36" s="82">
        <f>MAX(0,1-C35)</f>
        <v>0.40000000000000013</v>
      </c>
      <c r="D36" s="73"/>
    </row>
    <row r="37" spans="1:4" x14ac:dyDescent="0.3">
      <c r="A37" s="19" t="s">
        <v>922</v>
      </c>
      <c r="B37" s="51">
        <f>EV_Pilot!L86</f>
        <v>1.0476363333333334</v>
      </c>
      <c r="C37" s="51">
        <f>EV_Pilot!N86</f>
        <v>0</v>
      </c>
      <c r="D37" s="73" t="s">
        <v>923</v>
      </c>
    </row>
    <row r="39" spans="1:4" x14ac:dyDescent="0.3">
      <c r="A39" s="40" t="s">
        <v>879</v>
      </c>
      <c r="B39" s="41"/>
      <c r="C39" s="41"/>
      <c r="D39" s="41"/>
    </row>
    <row r="40" spans="1:4" x14ac:dyDescent="0.3">
      <c r="A40" s="26" t="s">
        <v>924</v>
      </c>
      <c r="B40" s="87" t="str">
        <f>IF(B11&gt;0,"YES","NO")</f>
        <v>YES</v>
      </c>
      <c r="C40" s="87" t="str">
        <f>IF(C11&gt;0,"YES","NO")</f>
        <v>YES</v>
      </c>
      <c r="D40" s="73"/>
    </row>
    <row r="41" spans="1:4" x14ac:dyDescent="0.3">
      <c r="A41" s="26" t="s">
        <v>925</v>
      </c>
      <c r="B41" s="87" t="str">
        <f>IF(B25&gt;0,"YES","NO")</f>
        <v>YES</v>
      </c>
      <c r="C41" s="87" t="str">
        <f>IF(C25&gt;0,"YES","NO")</f>
        <v>YES</v>
      </c>
      <c r="D41" s="73"/>
    </row>
    <row r="42" spans="1:4" x14ac:dyDescent="0.3">
      <c r="A42" s="26" t="s">
        <v>926</v>
      </c>
      <c r="B42" s="87" t="str">
        <f>IF(B36&lt;=0.5,"YES","NO")</f>
        <v>YES</v>
      </c>
      <c r="C42" s="87" t="str">
        <f>IF(C36&lt;=0.5,"YES","NO")</f>
        <v>YES</v>
      </c>
      <c r="D42" s="73"/>
    </row>
    <row r="44" spans="1:4" x14ac:dyDescent="0.3">
      <c r="A44" s="40" t="s">
        <v>927</v>
      </c>
      <c r="B44" s="41"/>
      <c r="C44" s="41"/>
      <c r="D44" s="41"/>
    </row>
    <row r="45" spans="1:4" x14ac:dyDescent="0.3">
      <c r="A45" s="19" t="s">
        <v>928</v>
      </c>
      <c r="B45" s="22">
        <f>Assumptions!$B$95</f>
        <v>1000</v>
      </c>
      <c r="C45" s="22">
        <f>Assumptions!$B$95</f>
        <v>1000</v>
      </c>
      <c r="D45" s="73"/>
    </row>
    <row r="46" spans="1:4" x14ac:dyDescent="0.3">
      <c r="A46" s="19" t="s">
        <v>929</v>
      </c>
      <c r="B46" s="54">
        <f>PMT(Assumptions!$B$19/12,Assumptions!$B$20*12,-Assumptions!$B$95)*Assumptions!$B$20*12</f>
        <v>1132.2740186406563</v>
      </c>
      <c r="C46" s="54">
        <f>PMT(Assumptions!$B$19/12,Assumptions!$B$20*12,-Assumptions!$B$95)*Assumptions!$B$20*12</f>
        <v>1132.2740186406563</v>
      </c>
      <c r="D46" s="73"/>
    </row>
    <row r="47" spans="1:4" x14ac:dyDescent="0.3">
      <c r="A47" s="26" t="s">
        <v>930</v>
      </c>
      <c r="B47" s="68">
        <f>B46-B45</f>
        <v>132.27401864065632</v>
      </c>
      <c r="C47" s="68">
        <f>C46-C45</f>
        <v>132.27401864065632</v>
      </c>
      <c r="D47" s="73"/>
    </row>
    <row r="48" spans="1:4" x14ac:dyDescent="0.3">
      <c r="A48" s="19" t="s">
        <v>931</v>
      </c>
      <c r="B48" s="48">
        <f>((1+Assumptions!$B$26)^Assumptions!$B$27-(1+Assumptions!$B$26))/((1+Assumptions!$B$26)^Assumptions!$B$27-1)</f>
        <v>0.68742429807218919</v>
      </c>
      <c r="C48" s="48">
        <f>((1+Assumptions!$B$26)^Assumptions!$B$27-(1+Assumptions!$B$26))/((1+Assumptions!$B$26)^Assumptions!$B$27-1)</f>
        <v>0.68742429807218919</v>
      </c>
      <c r="D48" s="73"/>
    </row>
    <row r="49" spans="1:4" x14ac:dyDescent="0.3">
      <c r="A49" s="19" t="s">
        <v>932</v>
      </c>
      <c r="B49" s="48">
        <f>MAX(0,((1+Assumptions!$B$26)^Assumptions!$B$27-(1+Assumptions!$B$26)^2)/((1+Assumptions!$B$26)^Assumptions!$B$27-1))</f>
        <v>0.35453117551907093</v>
      </c>
      <c r="C49" s="48">
        <f>MAX(0,((1+Assumptions!$B$26)^Assumptions!$B$27-(1+Assumptions!$B$26)^2)/((1+Assumptions!$B$26)^Assumptions!$B$27-1))</f>
        <v>0.35453117551907093</v>
      </c>
      <c r="D49" s="73"/>
    </row>
    <row r="50" spans="1:4" x14ac:dyDescent="0.3">
      <c r="A50" s="19" t="s">
        <v>933</v>
      </c>
      <c r="B50" s="54">
        <f>PMT(Assumptions!$B$26/12,Assumptions!$B$27*12,-Assumptions!$B$95)*Assumptions!$B$27*12</f>
        <v>1103.3641035543524</v>
      </c>
      <c r="C50" s="54">
        <f>PMT(Assumptions!$B$26/12,Assumptions!$B$27*12,-Assumptions!$B$95)*Assumptions!$B$27*12</f>
        <v>1103.3641035543524</v>
      </c>
      <c r="D50" s="73"/>
    </row>
    <row r="51" spans="1:4" x14ac:dyDescent="0.3">
      <c r="A51" s="19" t="s">
        <v>934</v>
      </c>
      <c r="B51" s="54">
        <f>MAX(0,B45*Assumptions!$B$73*Assumptions!$B$74*(0.5+B48+B49)-B45/Assumptions!$B$23*B21*Assumptions!$B$27)+MAX(0,-B20)/Assumptions!$B$23*B45*Assumptions!$B$27</f>
        <v>0</v>
      </c>
      <c r="C51" s="54">
        <f>MAX(0,C45*Pools_Scenarios!$C$91*Assumptions!$B$74*(0.5+C48+C49)-C45/Assumptions!$B$23*C21*Assumptions!$B$27)+MAX(0,-C20)/Assumptions!$B$23*C45*Assumptions!$B$27</f>
        <v>52.779825456739189</v>
      </c>
      <c r="D51" s="73" t="s">
        <v>935</v>
      </c>
    </row>
    <row r="52" spans="1:4" x14ac:dyDescent="0.3">
      <c r="A52" s="26" t="s">
        <v>936</v>
      </c>
      <c r="B52" s="68">
        <f>B50-B45-B51</f>
        <v>103.36410355435237</v>
      </c>
      <c r="C52" s="68">
        <f>C50-C45-C51</f>
        <v>50.584278097613179</v>
      </c>
      <c r="D52" s="73"/>
    </row>
    <row r="53" spans="1:4" x14ac:dyDescent="0.3">
      <c r="A53" s="19" t="s">
        <v>937</v>
      </c>
      <c r="B53" s="88">
        <f>RATE(Assumptions!$B$27*12,(B50-B51)/(Assumptions!$B$27*12),-B45)*12</f>
        <v>6.5000000003003697E-2</v>
      </c>
      <c r="C53" s="88">
        <f>RATE(Assumptions!$B$27*12,(C50-C51)/(Assumptions!$B$27*12),-C45)*12</f>
        <v>3.2304876411605184E-2</v>
      </c>
      <c r="D53" s="73"/>
    </row>
    <row r="54" spans="1:4" x14ac:dyDescent="0.3">
      <c r="A54" s="19" t="s">
        <v>938</v>
      </c>
      <c r="B54" s="54">
        <f>B32*B45/1000</f>
        <v>179.59479999999996</v>
      </c>
      <c r="C54" s="54">
        <f>C32*C45/1000</f>
        <v>85.714285714285708</v>
      </c>
      <c r="D54" s="73"/>
    </row>
    <row r="55" spans="1:4" x14ac:dyDescent="0.3">
      <c r="A55" s="19" t="s">
        <v>939</v>
      </c>
      <c r="B55" s="54">
        <f>EV_Pilot!B85*B45/1000</f>
        <v>1287.0960666666665</v>
      </c>
      <c r="C55" s="54">
        <f>EV_Pilot!C85*C45/1000</f>
        <v>599.99999999999989</v>
      </c>
      <c r="D55" s="73"/>
    </row>
    <row r="56" spans="1:4" x14ac:dyDescent="0.3">
      <c r="A56" s="26" t="s">
        <v>940</v>
      </c>
      <c r="B56" s="68">
        <f>B55-B45</f>
        <v>287.0960666666665</v>
      </c>
      <c r="C56" s="107">
        <f>C55-C45</f>
        <v>-400.00000000000011</v>
      </c>
      <c r="D56" s="73"/>
    </row>
    <row r="57" spans="1:4" x14ac:dyDescent="0.3">
      <c r="A57" s="19" t="s">
        <v>941</v>
      </c>
      <c r="B57" s="88">
        <f>EV_Pilot!B88</f>
        <v>6.6187267991014487E-2</v>
      </c>
      <c r="C57" s="108">
        <f>EV_Pilot!C88</f>
        <v>-0.11351476580816899</v>
      </c>
      <c r="D57" s="73" t="s">
        <v>942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zoomScaleNormal="100" workbookViewId="0">
      <selection activeCell="B20" sqref="B20"/>
    </sheetView>
  </sheetViews>
  <sheetFormatPr defaultColWidth="8.6640625" defaultRowHeight="14.4" x14ac:dyDescent="0.3"/>
  <cols>
    <col min="1" max="1" width="40" customWidth="1"/>
    <col min="2" max="2" width="56" customWidth="1"/>
    <col min="3" max="7" width="14" customWidth="1"/>
  </cols>
  <sheetData>
    <row r="1" spans="1:7" ht="17.399999999999999" x14ac:dyDescent="0.3">
      <c r="A1" s="13" t="s">
        <v>943</v>
      </c>
    </row>
    <row r="2" spans="1:7" x14ac:dyDescent="0.3">
      <c r="A2" s="14" t="s">
        <v>944</v>
      </c>
    </row>
    <row r="4" spans="1:7" x14ac:dyDescent="0.3">
      <c r="A4" s="20" t="s">
        <v>945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19" t="s">
        <v>946</v>
      </c>
      <c r="B5" s="73" t="s">
        <v>947</v>
      </c>
      <c r="C5" s="22">
        <f>Benefits!C20</f>
        <v>1</v>
      </c>
      <c r="D5" s="22">
        <f>Benefits!D20</f>
        <v>3</v>
      </c>
      <c r="E5" s="22">
        <f>Benefits!E20</f>
        <v>5</v>
      </c>
      <c r="F5" s="22">
        <f>Benefits!F20</f>
        <v>7</v>
      </c>
      <c r="G5" s="22">
        <f>Benefits!G20</f>
        <v>9</v>
      </c>
    </row>
    <row r="6" spans="1:7" x14ac:dyDescent="0.3">
      <c r="A6" s="19" t="s">
        <v>948</v>
      </c>
      <c r="B6" s="73" t="s">
        <v>949</v>
      </c>
      <c r="C6" s="54">
        <f>Assumptions!$B$44*Assumptions!$B$45*12*(1+Assumptions!$B$46)*Assumptions!$B$84</f>
        <v>55176</v>
      </c>
      <c r="D6" s="54">
        <f>Assumptions!$B$44*Assumptions!$B$45*12*(1+Assumptions!$B$46)</f>
        <v>110352</v>
      </c>
      <c r="E6" s="54">
        <f>Assumptions!$B$44*Assumptions!$B$45*12*(1+Assumptions!$B$46)</f>
        <v>110352</v>
      </c>
      <c r="F6" s="54">
        <f>Assumptions!$B$44*Assumptions!$B$45*12*(1+Assumptions!$B$46)</f>
        <v>110352</v>
      </c>
      <c r="G6" s="54">
        <f>Assumptions!$B$44*Assumptions!$B$45*12*(1+Assumptions!$B$46)</f>
        <v>110352</v>
      </c>
    </row>
    <row r="7" spans="1:7" x14ac:dyDescent="0.3">
      <c r="A7" s="19" t="s">
        <v>950</v>
      </c>
      <c r="B7" s="73" t="s">
        <v>951</v>
      </c>
      <c r="C7" s="54">
        <f>Assumptions!$B$47*Assumptions!$B$48*Assumptions!$B$85</f>
        <v>29399.999999999996</v>
      </c>
      <c r="D7" s="54">
        <f>0</f>
        <v>0</v>
      </c>
      <c r="E7" s="54">
        <f>0</f>
        <v>0</v>
      </c>
      <c r="F7" s="54">
        <f>0</f>
        <v>0</v>
      </c>
      <c r="G7" s="54">
        <f>0</f>
        <v>0</v>
      </c>
    </row>
    <row r="8" spans="1:7" x14ac:dyDescent="0.3">
      <c r="A8" s="19" t="s">
        <v>952</v>
      </c>
      <c r="B8" s="73" t="s">
        <v>953</v>
      </c>
      <c r="C8" s="54">
        <f>Assumptions!$B$161*Assumptions!$B$48*12*(1+Assumptions!$B$46)</f>
        <v>0</v>
      </c>
      <c r="D8" s="54">
        <f>Assumptions!$C$161*Assumptions!$B$48*12*(1+Assumptions!$B$46)</f>
        <v>0</v>
      </c>
      <c r="E8" s="54">
        <f>Assumptions!$D$161*Assumptions!$B$48*12*(1+Assumptions!$B$46)</f>
        <v>96558</v>
      </c>
      <c r="F8" s="54">
        <f>Assumptions!$E$161*Assumptions!$B$48*12*(1+Assumptions!$B$46)</f>
        <v>96558</v>
      </c>
      <c r="G8" s="54">
        <f>Assumptions!$F$161*Assumptions!$B$48*12*(1+Assumptions!$B$46)</f>
        <v>193116</v>
      </c>
    </row>
    <row r="9" spans="1:7" x14ac:dyDescent="0.3">
      <c r="A9" s="19" t="s">
        <v>954</v>
      </c>
      <c r="B9" s="73" t="s">
        <v>955</v>
      </c>
      <c r="C9" s="54">
        <f>Assumptions!$B$162</f>
        <v>0</v>
      </c>
      <c r="D9" s="54">
        <f>Assumptions!$C$162</f>
        <v>18000</v>
      </c>
      <c r="E9" s="54">
        <f>Assumptions!$D$162</f>
        <v>36000</v>
      </c>
      <c r="F9" s="54">
        <f>Assumptions!$E$162</f>
        <v>36000</v>
      </c>
      <c r="G9" s="54">
        <f>Assumptions!$F$162</f>
        <v>48000</v>
      </c>
    </row>
    <row r="10" spans="1:7" x14ac:dyDescent="0.3">
      <c r="A10" s="19" t="s">
        <v>956</v>
      </c>
      <c r="B10" s="73" t="s">
        <v>957</v>
      </c>
      <c r="C10" s="54">
        <f>(C5*Assumptions!$B$49+Assumptions!$B$51*Assumptions!$B$50)*12*Assumptions!$B$52</f>
        <v>3432.0000000000005</v>
      </c>
      <c r="D10" s="54">
        <f>(D5*Assumptions!$B$49+Assumptions!$B$51*Assumptions!$B$50)*12*Assumptions!$B$52</f>
        <v>6072.0000000000009</v>
      </c>
      <c r="E10" s="54">
        <f>(E5*Assumptions!$B$49+Assumptions!$B$51*Assumptions!$B$50)*12*Assumptions!$B$52</f>
        <v>8712</v>
      </c>
      <c r="F10" s="54">
        <f>(F5*Assumptions!$B$49+Assumptions!$B$51*Assumptions!$B$50)*12*Assumptions!$B$52</f>
        <v>11352.000000000002</v>
      </c>
      <c r="G10" s="54">
        <f>(G5*Assumptions!$B$49+Assumptions!$B$51*Assumptions!$B$50)*12*Assumptions!$B$52</f>
        <v>13992.000000000002</v>
      </c>
    </row>
    <row r="11" spans="1:7" x14ac:dyDescent="0.3">
      <c r="A11" s="19" t="s">
        <v>958</v>
      </c>
      <c r="B11" s="73" t="s">
        <v>959</v>
      </c>
      <c r="C11" s="54">
        <f>Assumptions!$B$53</f>
        <v>15000</v>
      </c>
      <c r="D11" s="54">
        <f>Assumptions!$B$54</f>
        <v>8000</v>
      </c>
      <c r="E11" s="54">
        <f>Assumptions!$B$54</f>
        <v>8000</v>
      </c>
      <c r="F11" s="54">
        <f>Assumptions!$B$54</f>
        <v>8000</v>
      </c>
      <c r="G11" s="54">
        <f>Assumptions!$B$54</f>
        <v>8000</v>
      </c>
    </row>
    <row r="12" spans="1:7" x14ac:dyDescent="0.3">
      <c r="A12" s="19" t="s">
        <v>960</v>
      </c>
      <c r="B12" s="73" t="s">
        <v>961</v>
      </c>
      <c r="C12" s="54">
        <f>Assumptions!$B$55</f>
        <v>15000</v>
      </c>
      <c r="D12" s="54">
        <f>Assumptions!$B$56</f>
        <v>5000</v>
      </c>
      <c r="E12" s="54">
        <f>Assumptions!$B$56</f>
        <v>5000</v>
      </c>
      <c r="F12" s="54">
        <f>Assumptions!$B$56</f>
        <v>5000</v>
      </c>
      <c r="G12" s="54">
        <f>Assumptions!$B$56</f>
        <v>5000</v>
      </c>
    </row>
    <row r="13" spans="1:7" x14ac:dyDescent="0.3">
      <c r="A13" s="19" t="s">
        <v>962</v>
      </c>
      <c r="B13" s="73" t="s">
        <v>963</v>
      </c>
      <c r="C13" s="54">
        <f>Assumptions!$B$159*Assumptions!$B$57</f>
        <v>8000</v>
      </c>
      <c r="D13" s="54">
        <f>Assumptions!$C$159*Assumptions!$B$86</f>
        <v>10000</v>
      </c>
      <c r="E13" s="54">
        <f>Assumptions!$D$159*Assumptions!$B$86</f>
        <v>10000</v>
      </c>
      <c r="F13" s="54">
        <f>Assumptions!$E$159*Assumptions!$B$86</f>
        <v>10000</v>
      </c>
      <c r="G13" s="54">
        <f>Assumptions!$F$159*Assumptions!$B$86</f>
        <v>10000</v>
      </c>
    </row>
    <row r="14" spans="1:7" x14ac:dyDescent="0.3">
      <c r="A14" s="26" t="s">
        <v>964</v>
      </c>
      <c r="B14" s="73"/>
      <c r="C14" s="67">
        <f>SUM(C6:C13)</f>
        <v>126008</v>
      </c>
      <c r="D14" s="67">
        <f>SUM(D6:D13)</f>
        <v>157424</v>
      </c>
      <c r="E14" s="67">
        <f>SUM(E6:E13)</f>
        <v>274622</v>
      </c>
      <c r="F14" s="67">
        <f>SUM(F6:F13)</f>
        <v>277262</v>
      </c>
      <c r="G14" s="67">
        <f>SUM(G6:G13)</f>
        <v>388460</v>
      </c>
    </row>
    <row r="16" spans="1:7" x14ac:dyDescent="0.3">
      <c r="A16" s="69" t="s">
        <v>965</v>
      </c>
      <c r="B16" s="70"/>
      <c r="C16" s="70"/>
      <c r="D16" s="70"/>
      <c r="E16" s="70"/>
      <c r="F16" s="70"/>
      <c r="G16" s="70"/>
    </row>
    <row r="17" spans="1:7" x14ac:dyDescent="0.3">
      <c r="A17" s="71" t="s">
        <v>966</v>
      </c>
      <c r="B17" s="73" t="s">
        <v>967</v>
      </c>
      <c r="C17" s="54">
        <f>Assumptions!$B$44*Assumptions!$B$45*12*(1-Assumptions!$B$84)</f>
        <v>48000</v>
      </c>
      <c r="D17" s="54">
        <f>0</f>
        <v>0</v>
      </c>
      <c r="E17" s="54">
        <f>0</f>
        <v>0</v>
      </c>
      <c r="F17" s="54">
        <f>0</f>
        <v>0</v>
      </c>
      <c r="G17" s="54">
        <f>0</f>
        <v>0</v>
      </c>
    </row>
    <row r="18" spans="1:7" x14ac:dyDescent="0.3">
      <c r="A18" s="71" t="s">
        <v>968</v>
      </c>
      <c r="B18" s="73" t="s">
        <v>969</v>
      </c>
      <c r="C18" s="54">
        <f>Assumptions!$B$47*Assumptions!$B$48*(1-Assumptions!$B$85)</f>
        <v>12600.000000000002</v>
      </c>
      <c r="D18" s="54">
        <f>0</f>
        <v>0</v>
      </c>
      <c r="E18" s="54">
        <f>0</f>
        <v>0</v>
      </c>
      <c r="F18" s="54">
        <f>0</f>
        <v>0</v>
      </c>
      <c r="G18" s="54">
        <f>0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9"/>
  <sheetViews>
    <sheetView topLeftCell="A3" zoomScaleNormal="100" workbookViewId="0">
      <selection activeCell="K17" sqref="K17"/>
    </sheetView>
  </sheetViews>
  <sheetFormatPr defaultColWidth="8.6640625" defaultRowHeight="14.4" x14ac:dyDescent="0.3"/>
  <cols>
    <col min="1" max="1" width="46" customWidth="1"/>
    <col min="2" max="2" width="2" customWidth="1"/>
    <col min="3" max="8" width="14" customWidth="1"/>
  </cols>
  <sheetData>
    <row r="1" spans="1:8" ht="17.399999999999999" x14ac:dyDescent="0.3">
      <c r="A1" s="13" t="s">
        <v>970</v>
      </c>
    </row>
    <row r="4" spans="1:8" x14ac:dyDescent="0.3">
      <c r="A4" s="20" t="s">
        <v>564</v>
      </c>
      <c r="B4" s="21"/>
      <c r="C4" s="21" t="s">
        <v>537</v>
      </c>
      <c r="D4" s="21" t="s">
        <v>538</v>
      </c>
      <c r="E4" s="21" t="s">
        <v>539</v>
      </c>
      <c r="F4" s="21" t="s">
        <v>540</v>
      </c>
      <c r="G4" s="21" t="s">
        <v>541</v>
      </c>
      <c r="H4" s="21" t="s">
        <v>971</v>
      </c>
    </row>
    <row r="5" spans="1:8" x14ac:dyDescent="0.3">
      <c r="A5" s="111" t="s">
        <v>1129</v>
      </c>
      <c r="C5" s="22">
        <f>Benefits!C20</f>
        <v>1</v>
      </c>
      <c r="D5" s="22">
        <f>Benefits!D20</f>
        <v>3</v>
      </c>
      <c r="E5" s="22">
        <f>Benefits!E20</f>
        <v>5</v>
      </c>
      <c r="F5" s="22">
        <f>Benefits!F20</f>
        <v>7</v>
      </c>
      <c r="G5" s="22">
        <f>Benefits!G20</f>
        <v>9</v>
      </c>
    </row>
    <row r="6" spans="1:8" x14ac:dyDescent="0.3">
      <c r="A6" s="111" t="s">
        <v>1127</v>
      </c>
      <c r="C6" s="22">
        <f>Benefits!C23</f>
        <v>146768.54968588319</v>
      </c>
      <c r="D6" s="22">
        <f>Benefits!D23</f>
        <v>510279.04245726508</v>
      </c>
      <c r="E6" s="22">
        <f>Benefits!E23</f>
        <v>989091.94076902326</v>
      </c>
      <c r="F6" s="22">
        <f>Benefits!F23</f>
        <v>1550728.2198047023</v>
      </c>
      <c r="G6" s="22">
        <f>Benefits!G23</f>
        <v>2166997.5076058554</v>
      </c>
      <c r="H6" s="68">
        <f>SUM(C6:G6)</f>
        <v>5363865.2603227291</v>
      </c>
    </row>
    <row r="7" spans="1:8" x14ac:dyDescent="0.3">
      <c r="A7" s="111" t="s">
        <v>1128</v>
      </c>
      <c r="C7" s="22">
        <f>Pricing_Income!C18</f>
        <v>20000</v>
      </c>
      <c r="D7" s="22">
        <f>Pricing_Income!D18</f>
        <v>174704.96039131633</v>
      </c>
      <c r="E7" s="22">
        <f>Pricing_Income!E18</f>
        <v>344378.6707625144</v>
      </c>
      <c r="F7" s="22">
        <f>Pricing_Income!F18</f>
        <v>533070.58996226336</v>
      </c>
      <c r="G7" s="22">
        <f>Pricing_Income!G18</f>
        <v>738038.32577566686</v>
      </c>
      <c r="H7" s="68">
        <f>SUM(C7:G7)</f>
        <v>1810192.546891761</v>
      </c>
    </row>
    <row r="8" spans="1:8" x14ac:dyDescent="0.3">
      <c r="A8" s="19" t="s">
        <v>975</v>
      </c>
      <c r="C8" s="22">
        <f>Pricing_Income!C20</f>
        <v>39926.504549484001</v>
      </c>
      <c r="D8" s="22">
        <f>Pricing_Income!D20</f>
        <v>249652.35451583107</v>
      </c>
      <c r="E8" s="22">
        <f>Pricing_Income!E20</f>
        <v>499086.17342381919</v>
      </c>
      <c r="F8" s="22">
        <f>Pricing_Income!F20</f>
        <v>782063.56973930832</v>
      </c>
      <c r="G8" s="22">
        <f>Pricing_Income!G20</f>
        <v>1087212.5513534362</v>
      </c>
      <c r="H8" s="68">
        <f>SUM(C8:G8)</f>
        <v>2657941.1535818791</v>
      </c>
    </row>
    <row r="9" spans="1:8" x14ac:dyDescent="0.3">
      <c r="A9" s="19" t="s">
        <v>976</v>
      </c>
      <c r="C9" s="22">
        <f>Spendings!C14</f>
        <v>126008</v>
      </c>
      <c r="D9" s="22">
        <f>Spendings!D14</f>
        <v>157424</v>
      </c>
      <c r="E9" s="22">
        <f>Spendings!E14</f>
        <v>274622</v>
      </c>
      <c r="F9" s="22">
        <f>Spendings!F14</f>
        <v>277262</v>
      </c>
      <c r="G9" s="22">
        <f>Spendings!G14</f>
        <v>388460</v>
      </c>
      <c r="H9" s="68">
        <f>SUM(C9:G9)</f>
        <v>1223776</v>
      </c>
    </row>
    <row r="10" spans="1:8" x14ac:dyDescent="0.3">
      <c r="A10" s="26" t="s">
        <v>977</v>
      </c>
      <c r="C10" s="103">
        <f>C8-C9</f>
        <v>-86081.495450515999</v>
      </c>
      <c r="D10" s="67">
        <f>D8-D9</f>
        <v>92228.354515831074</v>
      </c>
      <c r="E10" s="67">
        <f>E8-E9</f>
        <v>224464.17342381919</v>
      </c>
      <c r="F10" s="67">
        <f>F8-F9</f>
        <v>504801.56973930832</v>
      </c>
      <c r="G10" s="67">
        <f>G8-G9</f>
        <v>698752.5513534362</v>
      </c>
      <c r="H10" s="68">
        <f>SUM(C10:G10)</f>
        <v>1434165.1535818786</v>
      </c>
    </row>
    <row r="11" spans="1:8" x14ac:dyDescent="0.3">
      <c r="A11" s="26" t="s">
        <v>978</v>
      </c>
      <c r="C11" s="107">
        <f>C10</f>
        <v>-86081.495450515999</v>
      </c>
      <c r="D11" s="68">
        <f>C11+D10</f>
        <v>6146.859065315075</v>
      </c>
      <c r="E11" s="68">
        <f>D11+E10</f>
        <v>230611.03248913426</v>
      </c>
      <c r="F11" s="68">
        <f>E11+F10</f>
        <v>735412.60222844256</v>
      </c>
      <c r="G11" s="68">
        <f>F11+G10</f>
        <v>1434165.1535818786</v>
      </c>
    </row>
    <row r="12" spans="1:8" x14ac:dyDescent="0.3">
      <c r="A12" s="19" t="s">
        <v>979</v>
      </c>
      <c r="C12" s="109">
        <f>IF(C8&lt;=0,"n/a",C10/C8)</f>
        <v>-2.1559987888203072</v>
      </c>
      <c r="D12" s="51">
        <f>IF(D8&lt;=0,"n/a",D10/D8)</f>
        <v>0.3694271367666298</v>
      </c>
      <c r="E12" s="51">
        <f>IF(E8&lt;=0,"n/a",E10/E8)</f>
        <v>0.44975033446419754</v>
      </c>
      <c r="F12" s="51">
        <f>IF(F8&lt;=0,"n/a",F10/F8)</f>
        <v>0.64547383265477765</v>
      </c>
      <c r="G12" s="51">
        <f>IF(G8&lt;=0,"n/a",G10/G8)</f>
        <v>0.64270096080438133</v>
      </c>
    </row>
    <row r="13" spans="1:8" x14ac:dyDescent="0.3">
      <c r="A13" s="114" t="s">
        <v>1126</v>
      </c>
      <c r="C13" s="68">
        <f>C6-C7</f>
        <v>126768.54968588319</v>
      </c>
      <c r="D13" s="68">
        <f>D6-D7</f>
        <v>335574.08206594875</v>
      </c>
      <c r="E13" s="68">
        <f>E6-E7</f>
        <v>644713.2700065088</v>
      </c>
      <c r="F13" s="68">
        <f>F6-F7</f>
        <v>1017657.629842439</v>
      </c>
      <c r="G13" s="68">
        <f>G6-G7</f>
        <v>1428959.1818301885</v>
      </c>
      <c r="H13" s="68">
        <f>SUM(C13:G13)</f>
        <v>3553672.7134309681</v>
      </c>
    </row>
    <row r="15" spans="1:8" x14ac:dyDescent="0.3">
      <c r="A15" s="40" t="s">
        <v>981</v>
      </c>
      <c r="B15" s="41"/>
      <c r="C15" s="41"/>
      <c r="D15" s="41"/>
      <c r="E15" s="41"/>
      <c r="F15" s="41"/>
      <c r="G15" s="41"/>
      <c r="H15" s="41"/>
    </row>
    <row r="16" spans="1:8" x14ac:dyDescent="0.3">
      <c r="A16" s="111" t="s">
        <v>1124</v>
      </c>
      <c r="C16" s="113">
        <f>(H8-H9)/H9</f>
        <v>1.1719180255062029</v>
      </c>
      <c r="D16" s="73" t="s">
        <v>983</v>
      </c>
    </row>
    <row r="17" spans="1:8" x14ac:dyDescent="0.3">
      <c r="A17" s="111" t="s">
        <v>1125</v>
      </c>
      <c r="C17" s="113">
        <f>(H6-H7)/H7</f>
        <v>1.9631462517801743</v>
      </c>
      <c r="D17" s="73" t="s">
        <v>985</v>
      </c>
    </row>
    <row r="18" spans="1:8" x14ac:dyDescent="0.3">
      <c r="A18" s="111" t="s">
        <v>1122</v>
      </c>
      <c r="C18" s="116" t="str">
        <f>IF(C10&gt;0,"Y1",IF(D10&gt;0,"Y2",IF(E10&gt;0,"Y3",IF(F10&gt;0,"Y4",IF(G10&gt;0,"Y5","Not in 5 yrs")))))</f>
        <v>Y2</v>
      </c>
      <c r="D18" s="73"/>
    </row>
    <row r="19" spans="1:8" x14ac:dyDescent="0.3">
      <c r="A19" s="111" t="s">
        <v>1123</v>
      </c>
      <c r="C19" s="117" t="str">
        <f>IF(C13&gt;0,"Y1",IF(D13&gt;0,"Y2",IF(E13&gt;0,"Y3",IF(F13&gt;0,"Y4",IF(G13&gt;0,"Y5","Not in 5 yrs")))))</f>
        <v>Y1</v>
      </c>
      <c r="D19" s="73"/>
    </row>
    <row r="20" spans="1:8" x14ac:dyDescent="0.3">
      <c r="A20" s="111" t="s">
        <v>1118</v>
      </c>
      <c r="C20" s="116" t="str">
        <f>IF(C10&lt;0,"YES","NO")</f>
        <v>YES</v>
      </c>
      <c r="D20" s="73"/>
    </row>
    <row r="21" spans="1:8" x14ac:dyDescent="0.3">
      <c r="A21" s="111" t="s">
        <v>1119</v>
      </c>
      <c r="C21" s="116" t="str">
        <f>IF(AND(D10&gt;0,E10&gt;0,F10&gt;0,G10&gt;0),"YES","NO")</f>
        <v>YES</v>
      </c>
      <c r="D21" s="73"/>
    </row>
    <row r="22" spans="1:8" x14ac:dyDescent="0.3">
      <c r="A22" s="111" t="s">
        <v>1120</v>
      </c>
      <c r="C22" s="116" t="str">
        <f>Customer_ROI!C20</f>
        <v>YES</v>
      </c>
      <c r="D22" s="73"/>
    </row>
    <row r="24" spans="1:8" x14ac:dyDescent="0.3">
      <c r="A24" s="112" t="s">
        <v>1121</v>
      </c>
      <c r="B24" s="41"/>
      <c r="C24" s="41"/>
      <c r="D24" s="41"/>
      <c r="E24" s="41"/>
      <c r="F24" s="41"/>
      <c r="G24" s="41"/>
      <c r="H24" s="41"/>
    </row>
    <row r="25" spans="1:8" ht="26.4" x14ac:dyDescent="0.3">
      <c r="A25" s="20" t="s">
        <v>992</v>
      </c>
      <c r="B25" s="21"/>
      <c r="C25" s="21" t="s">
        <v>993</v>
      </c>
      <c r="D25" s="21" t="s">
        <v>994</v>
      </c>
      <c r="E25" s="21" t="s">
        <v>995</v>
      </c>
    </row>
    <row r="26" spans="1:8" x14ac:dyDescent="0.3">
      <c r="A26" s="19" t="s">
        <v>537</v>
      </c>
      <c r="C26" s="110">
        <f>C10</f>
        <v>-86081.495450515999</v>
      </c>
      <c r="D26" s="93">
        <f>1/(1+Assumptions!$B$58)^1</f>
        <v>0.86956521739130443</v>
      </c>
      <c r="E26" s="110">
        <f>C26*D26</f>
        <v>-74853.474304796531</v>
      </c>
    </row>
    <row r="27" spans="1:8" x14ac:dyDescent="0.3">
      <c r="A27" s="19" t="s">
        <v>538</v>
      </c>
      <c r="C27" s="92">
        <f>D10</f>
        <v>92228.354515831074</v>
      </c>
      <c r="D27" s="93">
        <f>1/(1+Assumptions!$B$58)^2</f>
        <v>0.7561436672967865</v>
      </c>
      <c r="E27" s="92">
        <f>C27*D27</f>
        <v>69737.886212348647</v>
      </c>
    </row>
    <row r="28" spans="1:8" x14ac:dyDescent="0.3">
      <c r="A28" s="19" t="s">
        <v>539</v>
      </c>
      <c r="C28" s="92">
        <f>E10</f>
        <v>224464.17342381919</v>
      </c>
      <c r="D28" s="93">
        <f>1/(1+Assumptions!$B$58)^3</f>
        <v>0.65751623243198831</v>
      </c>
      <c r="E28" s="92">
        <f>C28*D28</f>
        <v>147588.83762559004</v>
      </c>
    </row>
    <row r="29" spans="1:8" x14ac:dyDescent="0.3">
      <c r="A29" s="19" t="s">
        <v>540</v>
      </c>
      <c r="C29" s="92">
        <f>F10</f>
        <v>504801.56973930832</v>
      </c>
      <c r="D29" s="93">
        <f>1/(1+Assumptions!$B$58)^4</f>
        <v>0.57175324559303342</v>
      </c>
      <c r="E29" s="92">
        <f>C29*D29</f>
        <v>288621.93587890756</v>
      </c>
    </row>
    <row r="30" spans="1:8" x14ac:dyDescent="0.3">
      <c r="A30" s="19" t="s">
        <v>541</v>
      </c>
      <c r="C30" s="92">
        <f>G10</f>
        <v>698752.5513534362</v>
      </c>
      <c r="D30" s="93">
        <f>1/(1+Assumptions!$B$58)^5</f>
        <v>0.49717673529828987</v>
      </c>
      <c r="E30" s="92">
        <f>C30*D30</f>
        <v>347403.51226325205</v>
      </c>
    </row>
    <row r="31" spans="1:8" x14ac:dyDescent="0.3">
      <c r="A31" s="26" t="s">
        <v>996</v>
      </c>
      <c r="E31" s="68">
        <f>SUM(E26:E30)</f>
        <v>778498.69767530169</v>
      </c>
    </row>
    <row r="33" spans="1:8" x14ac:dyDescent="0.3">
      <c r="A33" s="16" t="s">
        <v>997</v>
      </c>
    </row>
    <row r="35" spans="1:8" x14ac:dyDescent="0.3">
      <c r="A35" s="69" t="s">
        <v>998</v>
      </c>
      <c r="B35" s="70"/>
      <c r="C35" s="70"/>
      <c r="D35" s="70"/>
      <c r="E35" s="70"/>
      <c r="F35" s="70"/>
      <c r="G35" s="70"/>
      <c r="H35" s="70"/>
    </row>
    <row r="36" spans="1:8" x14ac:dyDescent="0.3">
      <c r="A36" s="71" t="s">
        <v>999</v>
      </c>
      <c r="C36" s="22">
        <f>Assumptions!$B$87</f>
        <v>120000</v>
      </c>
      <c r="D36" s="22">
        <f>0</f>
        <v>0</v>
      </c>
      <c r="E36" s="22">
        <f>0</f>
        <v>0</v>
      </c>
      <c r="F36" s="22">
        <f>0</f>
        <v>0</v>
      </c>
      <c r="G36" s="22">
        <f>0</f>
        <v>0</v>
      </c>
      <c r="H36" s="68">
        <f>SUM(C36:G36)</f>
        <v>120000</v>
      </c>
    </row>
    <row r="37" spans="1:8" x14ac:dyDescent="0.3">
      <c r="A37" s="69" t="s">
        <v>1000</v>
      </c>
      <c r="C37" s="68">
        <f>C10+C36</f>
        <v>33918.504549484001</v>
      </c>
      <c r="D37" s="68">
        <f>C37+D10+D36</f>
        <v>126146.85906531507</v>
      </c>
      <c r="E37" s="68">
        <f>D37+E10+E36</f>
        <v>350611.03248913423</v>
      </c>
      <c r="F37" s="68">
        <f>E37+F10+F36</f>
        <v>855412.60222844256</v>
      </c>
      <c r="G37" s="68">
        <f>F37+G10+G36</f>
        <v>1554165.1535818786</v>
      </c>
    </row>
    <row r="38" spans="1:8" x14ac:dyDescent="0.3">
      <c r="A38" s="71" t="s">
        <v>1001</v>
      </c>
      <c r="C38" s="116" t="str">
        <f>IF(MIN(C37:G37)&gt;=0,"YES","NO")</f>
        <v>YES</v>
      </c>
      <c r="D38" s="73"/>
    </row>
    <row r="39" spans="1:8" x14ac:dyDescent="0.3">
      <c r="A39" s="71" t="s">
        <v>1002</v>
      </c>
      <c r="C39" s="68">
        <f>NPV(Assumptions!$B$58,C13:G13)</f>
        <v>2080179.4924844487</v>
      </c>
      <c r="D39" s="73" t="s">
        <v>1003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zoomScaleNormal="100" workbookViewId="0">
      <selection activeCell="G17" sqref="G17"/>
    </sheetView>
  </sheetViews>
  <sheetFormatPr defaultColWidth="8.6640625" defaultRowHeight="14.4" x14ac:dyDescent="0.3"/>
  <cols>
    <col min="1" max="1" width="8" customWidth="1"/>
    <col min="2" max="3" width="14" customWidth="1"/>
    <col min="4" max="4" width="20.5546875" customWidth="1"/>
    <col min="5" max="6" width="14" customWidth="1"/>
    <col min="7" max="7" width="19.44140625" customWidth="1"/>
    <col min="8" max="8" width="24" customWidth="1"/>
  </cols>
  <sheetData>
    <row r="1" spans="1:8" ht="17.399999999999999" x14ac:dyDescent="0.3">
      <c r="A1" s="13" t="s">
        <v>1004</v>
      </c>
    </row>
    <row r="2" spans="1:8" x14ac:dyDescent="0.3">
      <c r="A2" s="14" t="s">
        <v>1005</v>
      </c>
    </row>
    <row r="3" spans="1:8" x14ac:dyDescent="0.3">
      <c r="A3" s="94" t="s">
        <v>992</v>
      </c>
      <c r="B3" s="115" t="s">
        <v>1130</v>
      </c>
      <c r="C3" s="115" t="s">
        <v>1131</v>
      </c>
      <c r="D3" s="115" t="s">
        <v>1132</v>
      </c>
      <c r="E3" s="94" t="s">
        <v>1006</v>
      </c>
      <c r="F3" s="94" t="s">
        <v>1007</v>
      </c>
      <c r="G3" s="115" t="s">
        <v>1134</v>
      </c>
      <c r="H3" s="115" t="s">
        <v>1133</v>
      </c>
    </row>
    <row r="4" spans="1:8" x14ac:dyDescent="0.3">
      <c r="A4" t="s">
        <v>537</v>
      </c>
      <c r="B4" s="22">
        <f>ROI!C8</f>
        <v>39926.504549484001</v>
      </c>
      <c r="C4" s="22">
        <f>ROI!C9</f>
        <v>126008</v>
      </c>
      <c r="D4" s="102">
        <f>ROI!C11</f>
        <v>-86081.495450515999</v>
      </c>
      <c r="E4" s="22">
        <f>Customer_ROI!C6</f>
        <v>146768.54968588319</v>
      </c>
      <c r="F4" s="22">
        <f>Customer_ROI!C7</f>
        <v>20000</v>
      </c>
      <c r="G4" s="102">
        <f>ROI!C10</f>
        <v>-86081.495450515999</v>
      </c>
      <c r="H4" s="102">
        <f>C_ROI!C10</f>
        <v>-107596.28352488636</v>
      </c>
    </row>
    <row r="5" spans="1:8" x14ac:dyDescent="0.3">
      <c r="A5" t="s">
        <v>538</v>
      </c>
      <c r="B5" s="22">
        <f>ROI!D8</f>
        <v>249652.35451583107</v>
      </c>
      <c r="C5" s="22">
        <f>ROI!D9</f>
        <v>157424</v>
      </c>
      <c r="D5" s="22">
        <f>ROI!D11</f>
        <v>6146.859065315075</v>
      </c>
      <c r="E5" s="22">
        <f>Customer_ROI!D6</f>
        <v>334156.78283420525</v>
      </c>
      <c r="F5" s="22">
        <f>Customer_ROI!D7</f>
        <v>150704.96039131633</v>
      </c>
      <c r="G5" s="22">
        <f>ROI!D10</f>
        <v>92228.354515831074</v>
      </c>
      <c r="H5" s="22">
        <f>C_ROI!D10</f>
        <v>5033.9555125721963</v>
      </c>
    </row>
    <row r="6" spans="1:8" x14ac:dyDescent="0.3">
      <c r="A6" t="s">
        <v>539</v>
      </c>
      <c r="B6" s="22">
        <f>ROI!E8</f>
        <v>499086.17342381919</v>
      </c>
      <c r="C6" s="22">
        <f>ROI!E9</f>
        <v>274622</v>
      </c>
      <c r="D6" s="22">
        <f>ROI!E11</f>
        <v>230611.03248913426</v>
      </c>
      <c r="E6" s="22">
        <f>Customer_ROI!E6</f>
        <v>411981.54174491717</v>
      </c>
      <c r="F6" s="22">
        <f>Customer_ROI!E7</f>
        <v>139532.71829293482</v>
      </c>
      <c r="G6" s="22">
        <f>ROI!E10</f>
        <v>224464.17342381919</v>
      </c>
      <c r="H6" s="22">
        <f>C_ROI!E10</f>
        <v>47108.152229117288</v>
      </c>
    </row>
    <row r="7" spans="1:8" x14ac:dyDescent="0.3">
      <c r="A7" t="s">
        <v>540</v>
      </c>
      <c r="B7" s="22">
        <f>ROI!F8</f>
        <v>782063.56973930832</v>
      </c>
      <c r="C7" s="22">
        <f>ROI!F9</f>
        <v>277262</v>
      </c>
      <c r="D7" s="22">
        <f>ROI!F11</f>
        <v>735412.60222844256</v>
      </c>
      <c r="E7" s="22">
        <f>Customer_ROI!F6</f>
        <v>479239.97068669548</v>
      </c>
      <c r="F7" s="22">
        <f>Customer_ROI!F7</f>
        <v>160785.37554116195</v>
      </c>
      <c r="G7" s="22">
        <f>ROI!F10</f>
        <v>504801.56973930832</v>
      </c>
      <c r="H7" s="22">
        <f>C_ROI!F10</f>
        <v>83647.021573609672</v>
      </c>
    </row>
    <row r="8" spans="1:8" x14ac:dyDescent="0.3">
      <c r="A8" t="s">
        <v>541</v>
      </c>
      <c r="B8" s="22">
        <f>ROI!G8</f>
        <v>1087212.5513534362</v>
      </c>
      <c r="C8" s="22">
        <f>ROI!G9</f>
        <v>388460</v>
      </c>
      <c r="D8" s="22">
        <f>ROI!G11</f>
        <v>1434165.1535818786</v>
      </c>
      <c r="E8" s="22">
        <f>Customer_ROI!G6</f>
        <v>520421.29366381397</v>
      </c>
      <c r="F8" s="22">
        <f>Customer_ROI!G7</f>
        <v>172810.66070517112</v>
      </c>
      <c r="G8" s="22">
        <f>ROI!G10</f>
        <v>698752.5513534362</v>
      </c>
      <c r="H8" s="22">
        <f>C_ROI!G10</f>
        <v>102979.06788956362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80" customWidth="1"/>
    <col min="3" max="3" width="70" customWidth="1"/>
  </cols>
  <sheetData>
    <row r="1" spans="1:3" ht="17.399999999999999" x14ac:dyDescent="0.3">
      <c r="A1" s="13" t="s">
        <v>1008</v>
      </c>
    </row>
    <row r="2" spans="1:3" x14ac:dyDescent="0.3">
      <c r="A2" s="14" t="s">
        <v>1009</v>
      </c>
    </row>
    <row r="4" spans="1:3" x14ac:dyDescent="0.3">
      <c r="A4" s="20" t="s">
        <v>1010</v>
      </c>
      <c r="B4" s="21" t="s">
        <v>1011</v>
      </c>
      <c r="C4" s="21" t="s">
        <v>1012</v>
      </c>
    </row>
    <row r="5" spans="1:3" ht="27" x14ac:dyDescent="0.3">
      <c r="A5" s="26" t="s">
        <v>1013</v>
      </c>
      <c r="B5" s="95" t="s">
        <v>1014</v>
      </c>
      <c r="C5" s="96" t="s">
        <v>1015</v>
      </c>
    </row>
    <row r="6" spans="1:3" ht="27" x14ac:dyDescent="0.3">
      <c r="A6" s="26" t="s">
        <v>1016</v>
      </c>
      <c r="B6" s="95" t="s">
        <v>1017</v>
      </c>
      <c r="C6" s="96" t="s">
        <v>1018</v>
      </c>
    </row>
    <row r="7" spans="1:3" ht="27" x14ac:dyDescent="0.3">
      <c r="A7" s="26" t="s">
        <v>1019</v>
      </c>
      <c r="B7" s="95" t="s">
        <v>1020</v>
      </c>
      <c r="C7" s="96" t="s">
        <v>1021</v>
      </c>
    </row>
    <row r="8" spans="1:3" ht="27" x14ac:dyDescent="0.3">
      <c r="A8" s="26" t="s">
        <v>1022</v>
      </c>
      <c r="B8" s="95" t="s">
        <v>1023</v>
      </c>
      <c r="C8" s="96" t="s">
        <v>1024</v>
      </c>
    </row>
    <row r="9" spans="1:3" ht="27" x14ac:dyDescent="0.3">
      <c r="A9" s="26" t="s">
        <v>1025</v>
      </c>
      <c r="B9" s="95" t="s">
        <v>1026</v>
      </c>
      <c r="C9" s="96" t="s">
        <v>1027</v>
      </c>
    </row>
    <row r="10" spans="1:3" ht="40.200000000000003" x14ac:dyDescent="0.3">
      <c r="A10" s="26" t="s">
        <v>1028</v>
      </c>
      <c r="B10" s="95" t="s">
        <v>1029</v>
      </c>
      <c r="C10" s="96" t="s">
        <v>1030</v>
      </c>
    </row>
    <row r="11" spans="1:3" x14ac:dyDescent="0.3">
      <c r="A11" s="26" t="s">
        <v>1031</v>
      </c>
      <c r="B11" s="95" t="s">
        <v>1032</v>
      </c>
      <c r="C11" s="96" t="s">
        <v>1033</v>
      </c>
    </row>
    <row r="12" spans="1:3" ht="27" x14ac:dyDescent="0.3">
      <c r="A12" s="26" t="s">
        <v>1034</v>
      </c>
      <c r="B12" s="95" t="s">
        <v>1035</v>
      </c>
      <c r="C12" s="96" t="s">
        <v>1036</v>
      </c>
    </row>
    <row r="13" spans="1:3" ht="27" x14ac:dyDescent="0.3">
      <c r="A13" s="26" t="s">
        <v>1037</v>
      </c>
      <c r="B13" s="95" t="s">
        <v>1038</v>
      </c>
      <c r="C13" s="96" t="s">
        <v>1039</v>
      </c>
    </row>
    <row r="14" spans="1:3" x14ac:dyDescent="0.3">
      <c r="A14" s="26" t="s">
        <v>1040</v>
      </c>
      <c r="B14" s="95" t="s">
        <v>1041</v>
      </c>
      <c r="C14" s="96" t="s">
        <v>1042</v>
      </c>
    </row>
    <row r="15" spans="1:3" ht="27" x14ac:dyDescent="0.3">
      <c r="A15" s="26" t="s">
        <v>1043</v>
      </c>
      <c r="B15" s="95" t="s">
        <v>1044</v>
      </c>
      <c r="C15" s="96" t="s">
        <v>1045</v>
      </c>
    </row>
    <row r="16" spans="1:3" x14ac:dyDescent="0.3">
      <c r="A16" s="26" t="s">
        <v>1046</v>
      </c>
      <c r="B16" s="95" t="s">
        <v>1047</v>
      </c>
      <c r="C16" s="96" t="s">
        <v>1048</v>
      </c>
    </row>
    <row r="17" spans="1:3" ht="27" x14ac:dyDescent="0.3">
      <c r="A17" s="26" t="s">
        <v>1049</v>
      </c>
      <c r="B17" s="95" t="s">
        <v>1050</v>
      </c>
      <c r="C17" s="96" t="s">
        <v>1051</v>
      </c>
    </row>
    <row r="18" spans="1:3" ht="27" x14ac:dyDescent="0.3">
      <c r="A18" s="26" t="s">
        <v>1052</v>
      </c>
      <c r="B18" s="95" t="s">
        <v>1053</v>
      </c>
      <c r="C18" s="96" t="s">
        <v>1054</v>
      </c>
    </row>
    <row r="19" spans="1:3" ht="27" x14ac:dyDescent="0.3">
      <c r="A19" s="26" t="s">
        <v>1055</v>
      </c>
      <c r="B19" s="95" t="s">
        <v>1056</v>
      </c>
      <c r="C19" s="96" t="s">
        <v>1057</v>
      </c>
    </row>
    <row r="20" spans="1:3" x14ac:dyDescent="0.3">
      <c r="A20" s="26" t="s">
        <v>1058</v>
      </c>
      <c r="B20" s="95" t="s">
        <v>1059</v>
      </c>
      <c r="C20" s="96" t="s">
        <v>1060</v>
      </c>
    </row>
    <row r="21" spans="1:3" ht="40.200000000000003" x14ac:dyDescent="0.3">
      <c r="A21" s="26" t="s">
        <v>1061</v>
      </c>
      <c r="B21" s="95" t="s">
        <v>1062</v>
      </c>
      <c r="C21" s="96" t="s">
        <v>1063</v>
      </c>
    </row>
    <row r="22" spans="1:3" ht="27" x14ac:dyDescent="0.3">
      <c r="A22" s="26" t="s">
        <v>1064</v>
      </c>
      <c r="B22" s="95" t="s">
        <v>1065</v>
      </c>
      <c r="C22" s="96" t="s">
        <v>1066</v>
      </c>
    </row>
    <row r="23" spans="1:3" ht="27" x14ac:dyDescent="0.3">
      <c r="A23" s="26" t="s">
        <v>1067</v>
      </c>
      <c r="B23" s="95" t="s">
        <v>1068</v>
      </c>
      <c r="C23" s="96" t="s">
        <v>1069</v>
      </c>
    </row>
    <row r="24" spans="1:3" ht="27" x14ac:dyDescent="0.3">
      <c r="A24" s="26" t="s">
        <v>1070</v>
      </c>
      <c r="B24" s="95" t="s">
        <v>1071</v>
      </c>
      <c r="C24" s="96" t="s">
        <v>1072</v>
      </c>
    </row>
    <row r="25" spans="1:3" ht="27" x14ac:dyDescent="0.3">
      <c r="A25" s="26" t="s">
        <v>1073</v>
      </c>
      <c r="B25" s="95" t="s">
        <v>1074</v>
      </c>
      <c r="C25" s="96" t="s">
        <v>1075</v>
      </c>
    </row>
    <row r="26" spans="1:3" ht="27" x14ac:dyDescent="0.3">
      <c r="A26" s="26" t="s">
        <v>1076</v>
      </c>
      <c r="B26" s="95" t="s">
        <v>1077</v>
      </c>
      <c r="C26" s="96" t="s">
        <v>1078</v>
      </c>
    </row>
    <row r="27" spans="1:3" ht="27" x14ac:dyDescent="0.3">
      <c r="A27" s="26" t="s">
        <v>1079</v>
      </c>
      <c r="B27" s="95" t="s">
        <v>1080</v>
      </c>
      <c r="C27" s="96" t="s">
        <v>1081</v>
      </c>
    </row>
    <row r="28" spans="1:3" ht="40.200000000000003" x14ac:dyDescent="0.3">
      <c r="A28" s="26" t="s">
        <v>1082</v>
      </c>
      <c r="B28" s="95" t="s">
        <v>1083</v>
      </c>
      <c r="C28" s="96" t="s">
        <v>1084</v>
      </c>
    </row>
    <row r="29" spans="1:3" ht="40.200000000000003" x14ac:dyDescent="0.3">
      <c r="A29" s="26" t="s">
        <v>1085</v>
      </c>
      <c r="B29" s="95" t="s">
        <v>1086</v>
      </c>
      <c r="C29" s="96" t="s">
        <v>1087</v>
      </c>
    </row>
    <row r="30" spans="1:3" ht="27" x14ac:dyDescent="0.3">
      <c r="A30" s="26" t="inlineStr">
        <is>
          <t>R26</t>
        </is>
      </c>
      <c r="B30" s="95" t="inlineStr">
        <is>
          <t>SWCorp: national recycling rate 37.9% in 2024 (up from 35.38% in 2023) — Problem Statement</t>
        </is>
      </c>
      <c r="C30" s="96" t="inlineStr">
        <is>
          <t>https://asianews.network/surge-in-recycling-in-malaysia-drowned-out-by-rising-tide-of-trash</t>
        </is>
      </c>
    </row>
    <row r="31" spans="1:3" ht="27" x14ac:dyDescent="0.3">
      <c r="A31" s="26" t="inlineStr">
        <is>
          <t>R27</t>
        </is>
      </c>
      <c r="B31" s="95" t="inlineStr">
        <is>
          <t>KPKT: national recycling rate target of 40% by 2025 — Problem Statement</t>
        </is>
      </c>
      <c r="C31" s="96" t="inlineStr">
        <is>
          <t>https://nst.com.my/news/nation/2024/08/1087512/malaysia-sets-sights-40pct-recycling-rate-major-retailer-talks</t>
        </is>
      </c>
    </row>
    <row r="32" spans="1:3" ht="27" x14ac:dyDescent="0.3">
      <c r="A32" s="26" t="inlineStr">
        <is>
          <t>R28</t>
        </is>
      </c>
      <c r="B32" s="95" t="inlineStr">
        <is>
          <t>National Energy Transition Roadmap (NETR): renewable energy share target of 70% by 2050 — market tailwinds</t>
        </is>
      </c>
      <c r="C32" s="96" t="inlineStr">
        <is>
          <t>https://www.mida.gov.my/national-energy-transition-roadmap-netr-charting-a-path-to-a-sustainable-energy-landscape/</t>
        </is>
      </c>
    </row>
  </sheetData>
  <hyperlinks>
    <hyperlink ref="C5" r:id="rId1" xr:uid="{00000000-0004-0000-0D00-000000000000}"/>
    <hyperlink ref="C6" r:id="rId2" xr:uid="{00000000-0004-0000-0D00-000001000000}"/>
    <hyperlink ref="C7" r:id="rId3" xr:uid="{00000000-0004-0000-0D00-000002000000}"/>
    <hyperlink ref="C8" r:id="rId4" xr:uid="{00000000-0004-0000-0D00-000003000000}"/>
    <hyperlink ref="C9" r:id="rId5" xr:uid="{00000000-0004-0000-0D00-000004000000}"/>
    <hyperlink ref="C10" r:id="rId6" xr:uid="{00000000-0004-0000-0D00-000005000000}"/>
    <hyperlink ref="C11" r:id="rId7" xr:uid="{00000000-0004-0000-0D00-000006000000}"/>
    <hyperlink ref="C12" r:id="rId8" xr:uid="{00000000-0004-0000-0D00-000007000000}"/>
    <hyperlink ref="C13" r:id="rId9" xr:uid="{00000000-0004-0000-0D00-000008000000}"/>
    <hyperlink ref="C14" r:id="rId10" xr:uid="{00000000-0004-0000-0D00-000009000000}"/>
    <hyperlink ref="C15" r:id="rId11" xr:uid="{00000000-0004-0000-0D00-00000A000000}"/>
    <hyperlink ref="C16" r:id="rId12" xr:uid="{00000000-0004-0000-0D00-00000B000000}"/>
    <hyperlink ref="C17" r:id="rId13" xr:uid="{00000000-0004-0000-0D00-00000C000000}"/>
    <hyperlink ref="C18" r:id="rId14" xr:uid="{00000000-0004-0000-0D00-00000D000000}"/>
    <hyperlink ref="C19" r:id="rId15" xr:uid="{00000000-0004-0000-0D00-00000E000000}"/>
    <hyperlink ref="C20" r:id="rId16" xr:uid="{00000000-0004-0000-0D00-00000F000000}"/>
    <hyperlink ref="C21" r:id="rId17" xr:uid="{00000000-0004-0000-0D00-000010000000}"/>
    <hyperlink ref="C22" r:id="rId18" xr:uid="{00000000-0004-0000-0D00-000011000000}"/>
    <hyperlink ref="C23" r:id="rId19" xr:uid="{00000000-0004-0000-0D00-000012000000}"/>
    <hyperlink ref="C24" r:id="rId20" xr:uid="{00000000-0004-0000-0D00-000013000000}"/>
    <hyperlink ref="C25" r:id="rId21" xr:uid="{00000000-0004-0000-0D00-000014000000}"/>
    <hyperlink ref="C26" r:id="rId22" xr:uid="{00000000-0004-0000-0D00-000015000000}"/>
    <hyperlink ref="C27" r:id="rId23" xr:uid="{00000000-0004-0000-0D00-000016000000}"/>
    <hyperlink ref="C28" r:id="rId24" xr:uid="{00000000-0004-0000-0D00-000017000000}"/>
    <hyperlink ref="C29" r:id="rId25" xr:uid="{00000000-0004-0000-0D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4"/>
  <sheetViews>
    <sheetView zoomScaleNormal="100" workbookViewId="0"/>
  </sheetViews>
  <sheetFormatPr defaultColWidth="8.6640625" defaultRowHeight="14.4" x14ac:dyDescent="0.3"/>
  <cols>
    <col min="1" max="1" width="62" customWidth="1"/>
    <col min="2" max="4" width="15" customWidth="1"/>
    <col min="5" max="5" width="14" customWidth="1"/>
    <col min="6" max="6" width="18" customWidth="1"/>
  </cols>
  <sheetData>
    <row r="1" spans="1:3" ht="17.399999999999999" x14ac:dyDescent="0.3">
      <c r="A1" s="13" t="s">
        <v>1088</v>
      </c>
    </row>
    <row r="2" spans="1:3" x14ac:dyDescent="0.3">
      <c r="A2" s="14" t="s">
        <v>1089</v>
      </c>
    </row>
    <row r="4" spans="1:3" x14ac:dyDescent="0.3">
      <c r="A4" s="20" t="s">
        <v>640</v>
      </c>
      <c r="B4" s="21" t="s">
        <v>18</v>
      </c>
      <c r="C4" s="21" t="s">
        <v>19</v>
      </c>
    </row>
    <row r="5" spans="1:3" x14ac:dyDescent="0.3">
      <c r="A5" s="19" t="s">
        <v>643</v>
      </c>
      <c r="B5" s="25">
        <f>Pools_Scenarios!B83</f>
        <v>1</v>
      </c>
      <c r="C5" s="25">
        <f>Pools_Scenarios!C83</f>
        <v>0</v>
      </c>
    </row>
    <row r="6" spans="1:3" x14ac:dyDescent="0.3">
      <c r="A6" s="19" t="s">
        <v>645</v>
      </c>
      <c r="B6" s="22">
        <f>Pools_Scenarios!B84</f>
        <v>60</v>
      </c>
      <c r="C6" s="22">
        <f>Pools_Scenarios!C84</f>
        <v>30</v>
      </c>
    </row>
    <row r="7" spans="1:3" x14ac:dyDescent="0.3">
      <c r="A7" s="19" t="s">
        <v>647</v>
      </c>
      <c r="B7" s="22">
        <f>Pools_Scenarios!B85</f>
        <v>1000</v>
      </c>
      <c r="C7" s="22">
        <f>Pools_Scenarios!C85</f>
        <v>500</v>
      </c>
    </row>
    <row r="8" spans="1:3" x14ac:dyDescent="0.3">
      <c r="A8" s="19" t="s">
        <v>649</v>
      </c>
      <c r="B8" s="22">
        <f>Pools_Scenarios!B86</f>
        <v>2</v>
      </c>
      <c r="C8" s="22">
        <f>Pools_Scenarios!C86</f>
        <v>1</v>
      </c>
    </row>
    <row r="9" spans="1:3" x14ac:dyDescent="0.3">
      <c r="A9" s="19" t="s">
        <v>651</v>
      </c>
      <c r="B9" s="25">
        <f>Pools_Scenarios!B87</f>
        <v>0.5</v>
      </c>
      <c r="C9" s="25">
        <f>Pools_Scenarios!C87</f>
        <v>0.3</v>
      </c>
    </row>
    <row r="10" spans="1:3" x14ac:dyDescent="0.3">
      <c r="A10" s="19" t="s">
        <v>342</v>
      </c>
      <c r="B10" s="25">
        <f>Pools_Scenarios!B88</f>
        <v>0.15</v>
      </c>
      <c r="C10" s="25">
        <f>Pools_Scenarios!C88</f>
        <v>0.2</v>
      </c>
    </row>
    <row r="11" spans="1:3" x14ac:dyDescent="0.3">
      <c r="A11" s="19" t="s">
        <v>654</v>
      </c>
      <c r="B11" s="25">
        <f>Pools_Scenarios!B89</f>
        <v>0</v>
      </c>
      <c r="C11" s="25">
        <f>Pools_Scenarios!C89</f>
        <v>0.2</v>
      </c>
    </row>
    <row r="12" spans="1:3" x14ac:dyDescent="0.3">
      <c r="A12" s="19" t="s">
        <v>656</v>
      </c>
      <c r="B12" s="74">
        <f>Pools_Scenarios!B90</f>
        <v>0.6</v>
      </c>
      <c r="C12" s="74">
        <f>Pools_Scenarios!C90</f>
        <v>0.4</v>
      </c>
    </row>
    <row r="13" spans="1:3" x14ac:dyDescent="0.3">
      <c r="A13" s="19" t="s">
        <v>658</v>
      </c>
      <c r="B13" s="25">
        <f>Pools_Scenarios!B91</f>
        <v>0.02</v>
      </c>
      <c r="C13" s="25">
        <f>Pools_Scenarios!C91</f>
        <v>0.1</v>
      </c>
    </row>
    <row r="14" spans="1:3" x14ac:dyDescent="0.3">
      <c r="A14" s="19" t="s">
        <v>660</v>
      </c>
      <c r="B14" s="22">
        <f>Pools_Scenarios!B92</f>
        <v>1</v>
      </c>
      <c r="C14" s="22">
        <f>Pools_Scenarios!C92</f>
        <v>0</v>
      </c>
    </row>
    <row r="15" spans="1:3" x14ac:dyDescent="0.3">
      <c r="A15" s="19" t="s">
        <v>662</v>
      </c>
      <c r="B15" s="65">
        <f>Pools_Scenarios!B93</f>
        <v>2</v>
      </c>
      <c r="C15" s="65">
        <f>Pools_Scenarios!C93</f>
        <v>1.5</v>
      </c>
    </row>
    <row r="16" spans="1:3" x14ac:dyDescent="0.3">
      <c r="A16" s="19" t="s">
        <v>664</v>
      </c>
      <c r="B16" s="22">
        <f>Pools_Scenarios!B94</f>
        <v>30</v>
      </c>
      <c r="C16" s="22">
        <f>Pools_Scenarios!C94</f>
        <v>20</v>
      </c>
    </row>
    <row r="17" spans="1:6" x14ac:dyDescent="0.3">
      <c r="A17" s="19" t="s">
        <v>666</v>
      </c>
      <c r="B17" s="25">
        <f>Pools_Scenarios!B95</f>
        <v>0</v>
      </c>
      <c r="C17" s="25">
        <f>Pools_Scenarios!C95</f>
        <v>0.2</v>
      </c>
    </row>
    <row r="18" spans="1:6" x14ac:dyDescent="0.3">
      <c r="A18" s="19" t="s">
        <v>668</v>
      </c>
      <c r="B18" s="25">
        <f>Pools_Scenarios!B96</f>
        <v>0</v>
      </c>
      <c r="C18" s="25">
        <f>Pools_Scenarios!C96</f>
        <v>0.5</v>
      </c>
    </row>
    <row r="19" spans="1:6" x14ac:dyDescent="0.3">
      <c r="A19" s="19" t="s">
        <v>670</v>
      </c>
      <c r="B19" s="25">
        <f>Pools_Scenarios!B97</f>
        <v>0</v>
      </c>
      <c r="C19" s="25">
        <f>Pools_Scenarios!C97</f>
        <v>0.1</v>
      </c>
    </row>
    <row r="20" spans="1:6" x14ac:dyDescent="0.3">
      <c r="A20" s="19" t="s">
        <v>672</v>
      </c>
      <c r="B20" s="91">
        <f>Pools_Scenarios!B98</f>
        <v>1</v>
      </c>
      <c r="C20" s="91">
        <f>Pools_Scenarios!C98</f>
        <v>0</v>
      </c>
    </row>
    <row r="21" spans="1:6" x14ac:dyDescent="0.3">
      <c r="A21" s="19" t="s">
        <v>674</v>
      </c>
      <c r="B21" s="22">
        <f>Pools_Scenarios!B99</f>
        <v>10</v>
      </c>
      <c r="C21" s="22">
        <f>Pools_Scenarios!C99</f>
        <v>5</v>
      </c>
    </row>
    <row r="22" spans="1:6" x14ac:dyDescent="0.3">
      <c r="A22" s="19" t="s">
        <v>676</v>
      </c>
      <c r="B22" s="22">
        <f>Pools_Scenarios!B100</f>
        <v>10</v>
      </c>
      <c r="C22" s="22">
        <f>Pools_Scenarios!C100</f>
        <v>5</v>
      </c>
    </row>
    <row r="23" spans="1:6" x14ac:dyDescent="0.3">
      <c r="A23" s="19" t="s">
        <v>678</v>
      </c>
      <c r="B23" s="25">
        <f>Pools_Scenarios!B101</f>
        <v>0.3</v>
      </c>
      <c r="C23" s="25">
        <f>Pools_Scenarios!C101</f>
        <v>0.2</v>
      </c>
    </row>
    <row r="24" spans="1:6" x14ac:dyDescent="0.3">
      <c r="A24" s="19" t="s">
        <v>528</v>
      </c>
      <c r="B24" s="25">
        <f>Pools_Scenarios!B102</f>
        <v>0.06</v>
      </c>
      <c r="C24" s="25">
        <f>Pools_Scenarios!C102</f>
        <v>7.0000000000000007E-2</v>
      </c>
    </row>
    <row r="25" spans="1:6" x14ac:dyDescent="0.3">
      <c r="A25" s="19" t="s">
        <v>532</v>
      </c>
      <c r="B25" s="25">
        <f>Pools_Scenarios!B103</f>
        <v>0.5</v>
      </c>
      <c r="C25" s="25">
        <f>Pools_Scenarios!C103</f>
        <v>1</v>
      </c>
    </row>
    <row r="27" spans="1:6" ht="26.4" x14ac:dyDescent="0.3">
      <c r="A27" s="20" t="s">
        <v>17</v>
      </c>
      <c r="B27" s="21" t="s">
        <v>18</v>
      </c>
      <c r="C27" s="21" t="s">
        <v>19</v>
      </c>
      <c r="D27" s="21" t="s">
        <v>1090</v>
      </c>
      <c r="E27" s="21" t="s">
        <v>1091</v>
      </c>
      <c r="F27" s="21" t="s">
        <v>1092</v>
      </c>
    </row>
    <row r="28" spans="1:6" x14ac:dyDescent="0.3">
      <c r="A28" s="19" t="s">
        <v>20</v>
      </c>
      <c r="B28" s="22">
        <f>Customer_ROI!C8</f>
        <v>126768.54968588319</v>
      </c>
      <c r="C28" s="22">
        <f>C_Customer_ROI!C8</f>
        <v>5808.8056486980095</v>
      </c>
      <c r="D28" s="44" t="s">
        <v>1093</v>
      </c>
      <c r="E28" s="26" t="str">
        <f t="shared" ref="E28:F33" si="0">IF(B28&gt;0,"PASS","FAIL")</f>
        <v>PASS</v>
      </c>
      <c r="F28" s="26" t="str">
        <f t="shared" si="0"/>
        <v>PASS</v>
      </c>
    </row>
    <row r="29" spans="1:6" x14ac:dyDescent="0.3">
      <c r="A29" s="19" t="s">
        <v>21</v>
      </c>
      <c r="B29" s="22">
        <f>Customer_ROI!C10</f>
        <v>22768.549685883198</v>
      </c>
      <c r="C29" s="22">
        <f>C_Customer_ROI!C10</f>
        <v>5808.8056486980095</v>
      </c>
      <c r="D29" s="44" t="s">
        <v>1093</v>
      </c>
      <c r="E29" s="26" t="str">
        <f t="shared" si="0"/>
        <v>PASS</v>
      </c>
      <c r="F29" s="26" t="str">
        <f t="shared" si="0"/>
        <v>PASS</v>
      </c>
    </row>
    <row r="30" spans="1:6" x14ac:dyDescent="0.3">
      <c r="A30" s="19" t="s">
        <v>22</v>
      </c>
      <c r="B30" s="22">
        <f>Customer_ROI!C16</f>
        <v>76061.129811529914</v>
      </c>
      <c r="C30" s="22">
        <f>C_Customer_ROI!C16</f>
        <v>2323.522259479204</v>
      </c>
      <c r="D30" s="44" t="s">
        <v>1093</v>
      </c>
      <c r="E30" s="26" t="str">
        <f t="shared" si="0"/>
        <v>PASS</v>
      </c>
      <c r="F30" s="26" t="str">
        <f t="shared" si="0"/>
        <v>PASS</v>
      </c>
    </row>
    <row r="31" spans="1:6" x14ac:dyDescent="0.3">
      <c r="A31" s="19" t="s">
        <v>23</v>
      </c>
      <c r="B31" s="22">
        <f>Pools_Scenarios!C50</f>
        <v>82163.298642857146</v>
      </c>
      <c r="C31" s="22">
        <f>C_Pools!C50</f>
        <v>50465.897411141188</v>
      </c>
      <c r="D31" s="44" t="s">
        <v>1093</v>
      </c>
      <c r="E31" s="26" t="str">
        <f t="shared" si="0"/>
        <v>PASS</v>
      </c>
      <c r="F31" s="26" t="str">
        <f t="shared" si="0"/>
        <v>PASS</v>
      </c>
    </row>
    <row r="32" spans="1:6" x14ac:dyDescent="0.3">
      <c r="A32" s="19" t="s">
        <v>24</v>
      </c>
      <c r="B32" s="24">
        <f>Investor_ROI!B11</f>
        <v>4.5475630046793294E-2</v>
      </c>
      <c r="C32" s="24">
        <f>Investor_ROI!C11</f>
        <v>4.5475630046793294E-2</v>
      </c>
      <c r="D32" s="44" t="s">
        <v>1093</v>
      </c>
      <c r="E32" s="26" t="str">
        <f t="shared" si="0"/>
        <v>PASS</v>
      </c>
      <c r="F32" s="26" t="str">
        <f t="shared" si="0"/>
        <v>PASS</v>
      </c>
    </row>
    <row r="33" spans="1:6" x14ac:dyDescent="0.3">
      <c r="A33" s="19" t="s">
        <v>25</v>
      </c>
      <c r="B33" s="24">
        <f>Investor_ROI!B25</f>
        <v>5.4841289687346147E-2</v>
      </c>
      <c r="C33" s="24">
        <f>Investor_ROI!C25</f>
        <v>1.294727242828742E-2</v>
      </c>
      <c r="D33" s="44" t="s">
        <v>1093</v>
      </c>
      <c r="E33" s="26" t="str">
        <f t="shared" si="0"/>
        <v>PASS</v>
      </c>
      <c r="F33" s="26" t="str">
        <f t="shared" si="0"/>
        <v>PASS</v>
      </c>
    </row>
    <row r="34" spans="1:6" x14ac:dyDescent="0.3">
      <c r="A34" s="19" t="s">
        <v>26</v>
      </c>
      <c r="B34" s="25">
        <f>Investor_ROI!B36</f>
        <v>0</v>
      </c>
      <c r="C34" s="25">
        <f>Investor_ROI!C36</f>
        <v>0.40000000000000013</v>
      </c>
      <c r="D34" s="44" t="s">
        <v>1094</v>
      </c>
      <c r="E34" s="26" t="str">
        <f>IF(B34&lt;=0.5,"PASS","FAIL")</f>
        <v>PASS</v>
      </c>
      <c r="F34" s="26" t="str">
        <f>IF(C34&lt;=0.5,"PASS","FAIL")</f>
        <v>PASS</v>
      </c>
    </row>
    <row r="35" spans="1:6" x14ac:dyDescent="0.3">
      <c r="A35" s="19" t="s">
        <v>27</v>
      </c>
      <c r="B35" s="22">
        <f>ROI!D10</f>
        <v>92228.354515831074</v>
      </c>
      <c r="C35" s="22">
        <f>C_ROI!D10</f>
        <v>5033.9555125721963</v>
      </c>
      <c r="D35" s="44" t="s">
        <v>1093</v>
      </c>
      <c r="E35" s="26" t="str">
        <f t="shared" ref="E35:F37" si="1">IF(B35&gt;0,"PASS","FAIL")</f>
        <v>PASS</v>
      </c>
      <c r="F35" s="26" t="str">
        <f t="shared" si="1"/>
        <v>PASS</v>
      </c>
    </row>
    <row r="36" spans="1:6" x14ac:dyDescent="0.3">
      <c r="A36" s="19" t="s">
        <v>28</v>
      </c>
      <c r="B36" s="22">
        <f>ROI!H10</f>
        <v>1434165.1535818786</v>
      </c>
      <c r="C36" s="22">
        <f>C_ROI!H10</f>
        <v>131171.91367997642</v>
      </c>
      <c r="D36" s="44" t="s">
        <v>1093</v>
      </c>
      <c r="E36" s="26" t="str">
        <f t="shared" si="1"/>
        <v>PASS</v>
      </c>
      <c r="F36" s="26" t="str">
        <f t="shared" si="1"/>
        <v>PASS</v>
      </c>
    </row>
    <row r="37" spans="1:6" x14ac:dyDescent="0.3">
      <c r="A37" s="19" t="s">
        <v>29</v>
      </c>
      <c r="B37" s="22">
        <f>ROI!E31</f>
        <v>778498.69767530169</v>
      </c>
      <c r="C37" s="22">
        <f>C_ROI!E31</f>
        <v>22817.907100511402</v>
      </c>
      <c r="D37" s="44" t="s">
        <v>1093</v>
      </c>
      <c r="E37" s="26" t="str">
        <f t="shared" si="1"/>
        <v>PASS</v>
      </c>
      <c r="F37" s="26" t="str">
        <f t="shared" si="1"/>
        <v>PASS</v>
      </c>
    </row>
    <row r="38" spans="1:6" x14ac:dyDescent="0.3">
      <c r="A38" s="19" t="s">
        <v>30</v>
      </c>
      <c r="B38" s="22">
        <f>MIN(ROI!C37:G37)</f>
        <v>33918.504549484001</v>
      </c>
      <c r="C38" s="22">
        <f>MIN(C_ROI!C37:G37)</f>
        <v>12403.716475113644</v>
      </c>
      <c r="D38" s="44" t="s">
        <v>1095</v>
      </c>
      <c r="E38" s="26" t="str">
        <f>IF(B38&gt;=0,"PASS","FAIL")</f>
        <v>PASS</v>
      </c>
      <c r="F38" s="26" t="str">
        <f>IF(C38&gt;=0,"PASS","FAIL")</f>
        <v>PASS</v>
      </c>
    </row>
    <row r="39" spans="1:6" x14ac:dyDescent="0.3">
      <c r="A39" s="19" t="s">
        <v>31</v>
      </c>
      <c r="B39" s="22">
        <f>MIN(ROI!D10:G10)</f>
        <v>92228.354515831074</v>
      </c>
      <c r="C39" s="22">
        <f>MIN(C_ROI!D10:G10)</f>
        <v>5033.9555125721963</v>
      </c>
      <c r="D39" s="44" t="s">
        <v>1093</v>
      </c>
      <c r="E39" s="26" t="str">
        <f>IF(B39&gt;0,"PASS","FAIL")</f>
        <v>PASS</v>
      </c>
      <c r="F39" s="26" t="str">
        <f>IF(C39&gt;0,"PASS","FAIL")</f>
        <v>PASS</v>
      </c>
    </row>
    <row r="40" spans="1:6" x14ac:dyDescent="0.3">
      <c r="A40" s="26" t="s">
        <v>1096</v>
      </c>
      <c r="E40" s="26" t="str">
        <f>IF(COUNTIF(E28:E39,"FAIL")=0,"ALL PASS","SOME FAIL")</f>
        <v>ALL PASS</v>
      </c>
      <c r="F40" s="26" t="str">
        <f>IF(COUNTIF(F28:F39,"FAIL")=0,"ALL PASS","SOME FAIL")</f>
        <v>ALL PASS</v>
      </c>
    </row>
    <row r="42" spans="1:6" x14ac:dyDescent="0.3">
      <c r="A42" s="26" t="s">
        <v>1097</v>
      </c>
    </row>
    <row r="43" spans="1:6" x14ac:dyDescent="0.3">
      <c r="A43" s="97" t="s">
        <v>1098</v>
      </c>
    </row>
    <row r="44" spans="1:6" x14ac:dyDescent="0.3">
      <c r="A44" s="97" t="s">
        <v>1099</v>
      </c>
    </row>
    <row r="45" spans="1:6" x14ac:dyDescent="0.3">
      <c r="A45" s="97" t="s">
        <v>1100</v>
      </c>
    </row>
    <row r="46" spans="1:6" x14ac:dyDescent="0.3">
      <c r="A46" s="97" t="s">
        <v>1101</v>
      </c>
    </row>
    <row r="47" spans="1:6" x14ac:dyDescent="0.3">
      <c r="A47" s="97" t="s">
        <v>1102</v>
      </c>
    </row>
    <row r="48" spans="1:6" x14ac:dyDescent="0.3">
      <c r="A48" s="97" t="s">
        <v>1103</v>
      </c>
    </row>
    <row r="49" spans="1:1" x14ac:dyDescent="0.3">
      <c r="A49" s="97" t="s">
        <v>1104</v>
      </c>
    </row>
    <row r="50" spans="1:1" x14ac:dyDescent="0.3">
      <c r="A50" s="97" t="s">
        <v>1105</v>
      </c>
    </row>
    <row r="51" spans="1:1" x14ac:dyDescent="0.3">
      <c r="A51" s="97" t="s">
        <v>1106</v>
      </c>
    </row>
    <row r="52" spans="1:1" x14ac:dyDescent="0.3">
      <c r="A52" s="97" t="s">
        <v>1107</v>
      </c>
    </row>
    <row r="53" spans="1:1" x14ac:dyDescent="0.3">
      <c r="A53" s="97" t="s">
        <v>1108</v>
      </c>
    </row>
    <row r="54" spans="1:1" x14ac:dyDescent="0.3">
      <c r="A54" s="97" t="s">
        <v>1109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BFBF"/>
  </sheetPr>
  <dimension ref="A1:G7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66" customWidth="1"/>
    <col min="2" max="2" width="10" customWidth="1"/>
    <col min="3" max="7" width="14" customWidth="1"/>
  </cols>
  <sheetData>
    <row r="1" spans="1:7" ht="17.399999999999999" x14ac:dyDescent="0.3">
      <c r="A1" s="13" t="s">
        <v>1110</v>
      </c>
    </row>
    <row r="2" spans="1:7" x14ac:dyDescent="0.3">
      <c r="A2" s="14" t="s">
        <v>1111</v>
      </c>
    </row>
    <row r="4" spans="1:7" x14ac:dyDescent="0.3">
      <c r="A4" s="20" t="s">
        <v>564</v>
      </c>
      <c r="B4" s="21" t="s">
        <v>221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570</v>
      </c>
      <c r="B5" s="41"/>
      <c r="C5" s="41"/>
      <c r="D5" s="41"/>
      <c r="E5" s="41"/>
      <c r="F5" s="41"/>
      <c r="G5" s="41"/>
    </row>
    <row r="6" spans="1:7" x14ac:dyDescent="0.3">
      <c r="A6" s="19" t="s">
        <v>571</v>
      </c>
      <c r="B6" s="44"/>
      <c r="C6" s="43">
        <v>1</v>
      </c>
      <c r="D6" s="43">
        <v>2</v>
      </c>
      <c r="E6" s="43">
        <v>3</v>
      </c>
      <c r="F6" s="43">
        <v>4</v>
      </c>
      <c r="G6" s="43">
        <v>5</v>
      </c>
    </row>
    <row r="7" spans="1:7" x14ac:dyDescent="0.3">
      <c r="A7" s="19" t="s">
        <v>572</v>
      </c>
      <c r="B7" s="44"/>
      <c r="C7" s="48">
        <f>((1+Assumptions!$B$19)^Assumptions!$B$20-(1+Assumptions!$B$19)^C6)/((1+Assumptions!$B$19)^Assumptions!$B$20-1)</f>
        <v>0.81902520187173178</v>
      </c>
      <c r="D7" s="48">
        <f>((1+Assumptions!$B$19)^Assumptions!$B$20-(1+Assumptions!$B$19)^D6)/((1+Assumptions!$B$19)^Assumptions!$B$20-1)</f>
        <v>0.62900166383705036</v>
      </c>
      <c r="E7" s="48">
        <f>((1+Assumptions!$B$19)^Assumptions!$B$20-(1+Assumptions!$B$19)^E6)/((1+Assumptions!$B$19)^Assumptions!$B$20-1)</f>
        <v>0.42947694890063448</v>
      </c>
      <c r="F7" s="48">
        <f>((1+Assumptions!$B$19)^Assumptions!$B$20-(1+Assumptions!$B$19)^F6)/((1+Assumptions!$B$19)^Assumptions!$B$20-1)</f>
        <v>0.21997599821739858</v>
      </c>
      <c r="G7" s="48">
        <f>((1+Assumptions!$B$19)^Assumptions!$B$20-(1+Assumptions!$B$19)^G6)/((1+Assumptions!$B$19)^Assumptions!$B$20-1)</f>
        <v>0</v>
      </c>
    </row>
    <row r="8" spans="1:7" x14ac:dyDescent="0.3">
      <c r="A8" s="19" t="s">
        <v>573</v>
      </c>
      <c r="B8" s="44"/>
      <c r="C8" s="48">
        <f>0.5</f>
        <v>0.5</v>
      </c>
      <c r="D8" s="48">
        <f>(1+C7)/2</f>
        <v>0.90951260093586583</v>
      </c>
      <c r="E8" s="48">
        <f>(C7+D7)/2</f>
        <v>0.72401343285439101</v>
      </c>
      <c r="F8" s="48">
        <f>(D7+E7)/2</f>
        <v>0.52923930636884242</v>
      </c>
      <c r="G8" s="48">
        <f>(E7+F7)/2</f>
        <v>0.32472647355901652</v>
      </c>
    </row>
    <row r="9" spans="1:7" x14ac:dyDescent="0.3">
      <c r="A9" s="19" t="s">
        <v>574</v>
      </c>
      <c r="B9" s="44"/>
      <c r="C9" s="48">
        <f>0.5</f>
        <v>0.5</v>
      </c>
      <c r="D9" s="48">
        <f>1</f>
        <v>1</v>
      </c>
      <c r="E9" s="48">
        <f>1</f>
        <v>1</v>
      </c>
      <c r="F9" s="48">
        <f>1</f>
        <v>1</v>
      </c>
      <c r="G9" s="48">
        <f>1</f>
        <v>1</v>
      </c>
    </row>
    <row r="10" spans="1:7" x14ac:dyDescent="0.3">
      <c r="A10" s="19" t="s">
        <v>575</v>
      </c>
      <c r="B10" s="44"/>
      <c r="C10" s="48">
        <f>MAX(0,((1+Assumptions!$B$26)^Assumptions!$B$27-(1+Assumptions!$B$26)^C6)/((1+Assumptions!$B$26)^Assumptions!$B$27-1))</f>
        <v>0.68742429807218919</v>
      </c>
      <c r="D10" s="48">
        <f>MAX(0,((1+Assumptions!$B$26)^Assumptions!$B$27-(1+Assumptions!$B$26)^D6)/((1+Assumptions!$B$26)^Assumptions!$B$27-1))</f>
        <v>0.35453117551907093</v>
      </c>
      <c r="E10" s="48">
        <f>MAX(0,((1+Assumptions!$B$26)^Assumptions!$B$27-(1+Assumptions!$B$26)^E6)/((1+Assumptions!$B$26)^Assumptions!$B$27-1))</f>
        <v>0</v>
      </c>
      <c r="F10" s="48">
        <f>MAX(0,((1+Assumptions!$B$26)^Assumptions!$B$27-(1+Assumptions!$B$26)^F6)/((1+Assumptions!$B$26)^Assumptions!$B$27-1))</f>
        <v>0</v>
      </c>
      <c r="G10" s="48">
        <f>MAX(0,((1+Assumptions!$B$26)^Assumptions!$B$27-(1+Assumptions!$B$26)^G6)/((1+Assumptions!$B$26)^Assumptions!$B$27-1))</f>
        <v>0</v>
      </c>
    </row>
    <row r="11" spans="1:7" x14ac:dyDescent="0.3">
      <c r="A11" s="19" t="s">
        <v>576</v>
      </c>
      <c r="B11" s="44"/>
      <c r="C11" s="48">
        <f>0.5</f>
        <v>0.5</v>
      </c>
      <c r="D11" s="48">
        <f>(1+C10)/2</f>
        <v>0.84371214903609459</v>
      </c>
      <c r="E11" s="48">
        <f>(C10+D10)/2</f>
        <v>0.52097773679563009</v>
      </c>
      <c r="F11" s="48">
        <f>(D10+E10)/2</f>
        <v>0.17726558775953546</v>
      </c>
      <c r="G11" s="48">
        <f>(E10+F10)/2</f>
        <v>0</v>
      </c>
    </row>
    <row r="12" spans="1:7" x14ac:dyDescent="0.3">
      <c r="A12" s="19" t="s">
        <v>577</v>
      </c>
      <c r="B12" s="44"/>
      <c r="C12" s="48">
        <f>0.5</f>
        <v>0.5</v>
      </c>
      <c r="D12" s="48">
        <f>1</f>
        <v>1</v>
      </c>
      <c r="E12" s="48">
        <f>1</f>
        <v>1</v>
      </c>
      <c r="F12" s="48">
        <f>0.5</f>
        <v>0.5</v>
      </c>
      <c r="G12" s="48">
        <f>0</f>
        <v>0</v>
      </c>
    </row>
    <row r="13" spans="1:7" x14ac:dyDescent="0.3">
      <c r="A13" s="19" t="s">
        <v>578</v>
      </c>
      <c r="B13" s="44"/>
      <c r="C13" s="48">
        <f>0.5*(1+(1-0.5/Assumptions!$B$137))/2</f>
        <v>0.48214285714285715</v>
      </c>
      <c r="D13" s="48">
        <f>MAX(0,1-1/Assumptions!$B$137)</f>
        <v>0.85714285714285721</v>
      </c>
      <c r="E13" s="48">
        <f>MAX(0,1-2/Assumptions!$B$137)</f>
        <v>0.7142857142857143</v>
      </c>
      <c r="F13" s="48">
        <f>MAX(0,1-3/Assumptions!$B$137)</f>
        <v>0.5714285714285714</v>
      </c>
      <c r="G13" s="48">
        <f>MAX(0,1-4/Assumptions!$B$137)</f>
        <v>0.4285714285714286</v>
      </c>
    </row>
    <row r="14" spans="1:7" x14ac:dyDescent="0.3">
      <c r="A14" s="19" t="s">
        <v>579</v>
      </c>
      <c r="B14" s="44"/>
      <c r="C14" s="48">
        <f>0.5/Assumptions!$B$137</f>
        <v>7.1428571428571425E-2</v>
      </c>
      <c r="D14" s="48">
        <f>IF(2-0.5&lt;=Assumptions!$B$137,1/Assumptions!$B$137,0)</f>
        <v>0.14285714285714285</v>
      </c>
      <c r="E14" s="48">
        <f>IF(3-0.5&lt;=Assumptions!$B$137,1/Assumptions!$B$137,0)</f>
        <v>0.14285714285714285</v>
      </c>
      <c r="F14" s="48">
        <f>IF(4-0.5&lt;=Assumptions!$B$137,1/Assumptions!$B$137,0)</f>
        <v>0.14285714285714285</v>
      </c>
      <c r="G14" s="48">
        <f>IF(5-0.5&lt;=Assumptions!$B$137,1/Assumptions!$B$137,0)</f>
        <v>0.14285714285714285</v>
      </c>
    </row>
    <row r="15" spans="1:7" x14ac:dyDescent="0.3">
      <c r="A15" s="40" t="s">
        <v>580</v>
      </c>
      <c r="B15" s="41"/>
      <c r="C15" s="41"/>
      <c r="D15" s="41"/>
      <c r="E15" s="41"/>
      <c r="F15" s="41"/>
      <c r="G15" s="41"/>
    </row>
    <row r="16" spans="1:7" x14ac:dyDescent="0.3">
      <c r="A16" s="19" t="s">
        <v>581</v>
      </c>
      <c r="B16" s="44" t="s">
        <v>543</v>
      </c>
      <c r="C16" s="65">
        <f>Assumptions!$B$155</f>
        <v>3</v>
      </c>
      <c r="D16" s="65">
        <f>Assumptions!$C$155</f>
        <v>3</v>
      </c>
      <c r="E16" s="65">
        <f>Assumptions!$D$155</f>
        <v>4</v>
      </c>
      <c r="F16" s="65">
        <f>Assumptions!$E$155</f>
        <v>5</v>
      </c>
      <c r="G16" s="65">
        <f>Assumptions!$F$155</f>
        <v>5</v>
      </c>
    </row>
    <row r="17" spans="1:7" x14ac:dyDescent="0.3">
      <c r="A17" s="19" t="s">
        <v>582</v>
      </c>
      <c r="B17" s="44" t="s">
        <v>228</v>
      </c>
      <c r="C17" s="54">
        <f>C16*1000*Assumptions!$B$16*Pools_Scenarios!$C$101</f>
        <v>1920000</v>
      </c>
      <c r="D17" s="54">
        <f>D16*1000*Assumptions!$B$16*Pools_Scenarios!$C$101</f>
        <v>1920000</v>
      </c>
      <c r="E17" s="54">
        <f>E16*1000*Assumptions!$B$16*Pools_Scenarios!$C$101</f>
        <v>2560000</v>
      </c>
      <c r="F17" s="54">
        <f>F16*1000*Assumptions!$B$16*Pools_Scenarios!$C$101</f>
        <v>3200000</v>
      </c>
      <c r="G17" s="54">
        <f>G16*1000*Assumptions!$B$16*Pools_Scenarios!$C$101</f>
        <v>3200000</v>
      </c>
    </row>
    <row r="18" spans="1:7" x14ac:dyDescent="0.3">
      <c r="A18" s="19" t="s">
        <v>583</v>
      </c>
      <c r="B18" s="44" t="s">
        <v>228</v>
      </c>
      <c r="C18" s="54">
        <f>C17*C8</f>
        <v>960000</v>
      </c>
      <c r="D18" s="54">
        <f>C17*D8+D17*C8</f>
        <v>2706264.1937968624</v>
      </c>
      <c r="E18" s="54">
        <f>C17*E8+D17*D8+E17*C8</f>
        <v>4416369.984877293</v>
      </c>
      <c r="F18" s="54">
        <f>C17*F8+D17*E8+E17*D8+F17*C8</f>
        <v>6334597.5177044254</v>
      </c>
      <c r="G18" s="54">
        <f>C17*G8+D17*F8+E17*E8+F17*D8+G17*C8</f>
        <v>8003529.0085635008</v>
      </c>
    </row>
    <row r="19" spans="1:7" x14ac:dyDescent="0.3">
      <c r="A19" s="19" t="s">
        <v>584</v>
      </c>
      <c r="B19" s="44" t="s">
        <v>585</v>
      </c>
      <c r="C19" s="48">
        <f>PMT(Assumptions!$B$19,Assumptions!$B$20,-1)</f>
        <v>0.23097479812826813</v>
      </c>
      <c r="D19" s="48">
        <f>PMT(Assumptions!$B$19,Assumptions!$B$20,-1)</f>
        <v>0.23097479812826813</v>
      </c>
      <c r="E19" s="48">
        <f>PMT(Assumptions!$B$19,Assumptions!$B$20,-1)</f>
        <v>0.23097479812826813</v>
      </c>
      <c r="F19" s="48">
        <f>PMT(Assumptions!$B$19,Assumptions!$B$20,-1)</f>
        <v>0.23097479812826813</v>
      </c>
      <c r="G19" s="48">
        <f>PMT(Assumptions!$B$19,Assumptions!$B$20,-1)</f>
        <v>0.23097479812826813</v>
      </c>
    </row>
    <row r="20" spans="1:7" x14ac:dyDescent="0.3">
      <c r="A20" s="19" t="s">
        <v>586</v>
      </c>
      <c r="B20" s="44" t="s">
        <v>228</v>
      </c>
      <c r="C20" s="54">
        <f>(C17*C9)*C19</f>
        <v>221735.80620313741</v>
      </c>
      <c r="D20" s="54">
        <f>(C17*D9+D17*C9)*D19</f>
        <v>665207.41860941215</v>
      </c>
      <c r="E20" s="54">
        <f>(C17*E9+D17*D9+E17*C9)*E19</f>
        <v>1182590.9664167329</v>
      </c>
      <c r="F20" s="54">
        <f>(C17*F9+D17*E9+E17*D9+F17*C9)*F19</f>
        <v>1847798.385026145</v>
      </c>
      <c r="G20" s="54">
        <f>(C17*G9+D17*F9+E17*E9+F17*D9+G17*C9)*G19</f>
        <v>2586917.7390366029</v>
      </c>
    </row>
    <row r="21" spans="1:7" x14ac:dyDescent="0.3">
      <c r="A21" s="19" t="s">
        <v>587</v>
      </c>
      <c r="B21" s="44" t="s">
        <v>543</v>
      </c>
      <c r="C21" s="66">
        <f>C16*C9</f>
        <v>1.5</v>
      </c>
      <c r="D21" s="66">
        <f>C16*D9+D16*C9</f>
        <v>4.5</v>
      </c>
      <c r="E21" s="66">
        <f>C16*E9+D16*D9+E16*C9</f>
        <v>8</v>
      </c>
      <c r="F21" s="66">
        <f>C16*F9+D16*E9+E16*D9+F16*C9</f>
        <v>12.5</v>
      </c>
      <c r="G21" s="66">
        <f>C16*G9+D16*F9+E16*E9+F16*D9+G16*C9</f>
        <v>17.5</v>
      </c>
    </row>
    <row r="22" spans="1:7" x14ac:dyDescent="0.3">
      <c r="A22" s="19" t="s">
        <v>588</v>
      </c>
      <c r="B22" s="44" t="s">
        <v>589</v>
      </c>
      <c r="C22" s="54">
        <f>C21*Assumptions!$B$17</f>
        <v>1875</v>
      </c>
      <c r="D22" s="54">
        <f>D21*Assumptions!$B$17</f>
        <v>5625</v>
      </c>
      <c r="E22" s="54">
        <f>E21*Assumptions!$B$17</f>
        <v>10000</v>
      </c>
      <c r="F22" s="54">
        <f>F21*Assumptions!$B$17</f>
        <v>15625</v>
      </c>
      <c r="G22" s="54">
        <f>G21*Assumptions!$B$17</f>
        <v>21875</v>
      </c>
    </row>
    <row r="23" spans="1:7" x14ac:dyDescent="0.3">
      <c r="A23" s="19" t="s">
        <v>590</v>
      </c>
      <c r="B23" s="44" t="s">
        <v>591</v>
      </c>
      <c r="C23" s="54">
        <f>C22*Assumptions!$B$12</f>
        <v>1387.5</v>
      </c>
      <c r="D23" s="54">
        <f>D22*Assumptions!$B$12</f>
        <v>4162.5</v>
      </c>
      <c r="E23" s="54">
        <f>E22*Assumptions!$B$12</f>
        <v>7400</v>
      </c>
      <c r="F23" s="54">
        <f>F22*Assumptions!$B$12</f>
        <v>11562.5</v>
      </c>
      <c r="G23" s="54">
        <f>G22*Assumptions!$B$12</f>
        <v>16187.5</v>
      </c>
    </row>
    <row r="24" spans="1:7" x14ac:dyDescent="0.3">
      <c r="A24" s="40" t="s">
        <v>266</v>
      </c>
      <c r="B24" s="41"/>
      <c r="C24" s="41"/>
      <c r="D24" s="41"/>
      <c r="E24" s="41"/>
      <c r="F24" s="41"/>
      <c r="G24" s="41"/>
    </row>
    <row r="25" spans="1:7" x14ac:dyDescent="0.3">
      <c r="A25" s="19" t="s">
        <v>592</v>
      </c>
      <c r="B25" s="44" t="s">
        <v>546</v>
      </c>
      <c r="C25" s="22">
        <f>Assumptions!$B$156</f>
        <v>15</v>
      </c>
      <c r="D25" s="22">
        <f>Assumptions!$C$156</f>
        <v>25</v>
      </c>
      <c r="E25" s="22">
        <f>Assumptions!$D$156</f>
        <v>10</v>
      </c>
      <c r="F25" s="22">
        <f>Assumptions!$E$156</f>
        <v>10</v>
      </c>
      <c r="G25" s="22">
        <f>Assumptions!$F$156</f>
        <v>10</v>
      </c>
    </row>
    <row r="26" spans="1:7" x14ac:dyDescent="0.3">
      <c r="A26" s="19" t="s">
        <v>582</v>
      </c>
      <c r="B26" s="44" t="s">
        <v>228</v>
      </c>
      <c r="C26" s="54">
        <f>C25*Assumptions!$B$23</f>
        <v>300000</v>
      </c>
      <c r="D26" s="54">
        <f>D25*Assumptions!$B$23</f>
        <v>500000</v>
      </c>
      <c r="E26" s="54">
        <f>E25*Assumptions!$B$23</f>
        <v>200000</v>
      </c>
      <c r="F26" s="54">
        <f>F25*Assumptions!$B$23</f>
        <v>200000</v>
      </c>
      <c r="G26" s="54">
        <f>G25*Assumptions!$B$23</f>
        <v>200000</v>
      </c>
    </row>
    <row r="27" spans="1:7" x14ac:dyDescent="0.3">
      <c r="A27" s="19" t="s">
        <v>583</v>
      </c>
      <c r="B27" s="44" t="s">
        <v>228</v>
      </c>
      <c r="C27" s="54">
        <f>C26*C11</f>
        <v>150000</v>
      </c>
      <c r="D27" s="54">
        <f>C26*D11+D26*C11</f>
        <v>503113.64471082838</v>
      </c>
      <c r="E27" s="54">
        <f>C26*E11+D26*D11+E26*C11</f>
        <v>678149.39555673627</v>
      </c>
      <c r="F27" s="54">
        <f>C26*F11+D26*E11+E26*D11+F26*C11</f>
        <v>582410.97453289456</v>
      </c>
      <c r="G27" s="54">
        <f>C26*G11+D26*F11+E26*E11+F26*D11+G26*C11</f>
        <v>461570.77104611264</v>
      </c>
    </row>
    <row r="28" spans="1:7" x14ac:dyDescent="0.3">
      <c r="A28" s="19" t="s">
        <v>593</v>
      </c>
      <c r="B28" s="44" t="s">
        <v>594</v>
      </c>
      <c r="C28" s="66">
        <f>C25*C12</f>
        <v>7.5</v>
      </c>
      <c r="D28" s="66">
        <f>C25*D12+D25*C12</f>
        <v>27.5</v>
      </c>
      <c r="E28" s="66">
        <f>C25*E12+D25*D12+E25*C12</f>
        <v>45</v>
      </c>
      <c r="F28" s="66">
        <f>C25*F12+D25*E12+E25*D12+F25*C12</f>
        <v>47.5</v>
      </c>
      <c r="G28" s="66">
        <f>C25*G12+D25*F12+E25*E12+F25*D12+G25*C12</f>
        <v>37.5</v>
      </c>
    </row>
    <row r="29" spans="1:7" x14ac:dyDescent="0.3">
      <c r="A29" s="19" t="s">
        <v>595</v>
      </c>
      <c r="B29" s="44" t="s">
        <v>228</v>
      </c>
      <c r="C29" s="54">
        <f>PMT(Assumptions!$B$26/12,Assumptions!$B$27*12,-Assumptions!$B$23)*12</f>
        <v>7355.7606903623491</v>
      </c>
      <c r="D29" s="54">
        <f>PMT(Assumptions!$B$26/12,Assumptions!$B$27*12,-Assumptions!$B$23)*12</f>
        <v>7355.7606903623491</v>
      </c>
      <c r="E29" s="54">
        <f>PMT(Assumptions!$B$26/12,Assumptions!$B$27*12,-Assumptions!$B$23)*12</f>
        <v>7355.7606903623491</v>
      </c>
      <c r="F29" s="54">
        <f>PMT(Assumptions!$B$26/12,Assumptions!$B$27*12,-Assumptions!$B$23)*12</f>
        <v>7355.7606903623491</v>
      </c>
      <c r="G29" s="54">
        <f>PMT(Assumptions!$B$26/12,Assumptions!$B$27*12,-Assumptions!$B$23)*12</f>
        <v>7355.7606903623491</v>
      </c>
    </row>
    <row r="30" spans="1:7" x14ac:dyDescent="0.3">
      <c r="A30" s="19" t="s">
        <v>586</v>
      </c>
      <c r="B30" s="44" t="s">
        <v>228</v>
      </c>
      <c r="C30" s="54">
        <f>C28*C29</f>
        <v>55168.205177717617</v>
      </c>
      <c r="D30" s="54">
        <f>D28*D29</f>
        <v>202283.41898496461</v>
      </c>
      <c r="E30" s="54">
        <f>E28*E29</f>
        <v>331009.23106630571</v>
      </c>
      <c r="F30" s="54">
        <f>F28*F29</f>
        <v>349398.6327922116</v>
      </c>
      <c r="G30" s="54">
        <f>G28*G29</f>
        <v>275841.0258885881</v>
      </c>
    </row>
    <row r="31" spans="1:7" x14ac:dyDescent="0.3">
      <c r="A31" s="19" t="s">
        <v>596</v>
      </c>
      <c r="B31" s="44" t="s">
        <v>228</v>
      </c>
      <c r="C31" s="54">
        <f>C56*12-C29</f>
        <v>324.23930963765088</v>
      </c>
      <c r="D31" s="54">
        <f>D56*12-D29</f>
        <v>324.23930963765088</v>
      </c>
      <c r="E31" s="54">
        <f>E56*12-E29</f>
        <v>324.23930963765088</v>
      </c>
      <c r="F31" s="54">
        <f>F56*12-F29</f>
        <v>324.23930963765088</v>
      </c>
      <c r="G31" s="54">
        <f>G56*12-G29</f>
        <v>324.23930963765088</v>
      </c>
    </row>
    <row r="32" spans="1:7" x14ac:dyDescent="0.3">
      <c r="A32" s="19" t="s">
        <v>597</v>
      </c>
      <c r="B32" s="44" t="s">
        <v>228</v>
      </c>
      <c r="C32" s="54">
        <f>C28*Pools_Scenarios!$C$85*12*(1-Assumptions!$B$25)</f>
        <v>8999.9999999999982</v>
      </c>
      <c r="D32" s="54">
        <f>D28*Pools_Scenarios!$C$85*12*(1-Assumptions!$B$25)</f>
        <v>32999.999999999993</v>
      </c>
      <c r="E32" s="54">
        <f>E28*Pools_Scenarios!$C$85*12*(1-Assumptions!$B$25)</f>
        <v>53999.999999999985</v>
      </c>
      <c r="F32" s="54">
        <f>F28*Pools_Scenarios!$C$85*12*(1-Assumptions!$B$25)</f>
        <v>56999.999999999985</v>
      </c>
      <c r="G32" s="54">
        <f>G28*Pools_Scenarios!$C$85*12*(1-Assumptions!$B$25)</f>
        <v>44999.999999999993</v>
      </c>
    </row>
    <row r="33" spans="1:7" x14ac:dyDescent="0.3">
      <c r="A33" s="19" t="s">
        <v>598</v>
      </c>
      <c r="B33" s="44" t="s">
        <v>589</v>
      </c>
      <c r="C33" s="54">
        <f>C28*Pools_Scenarios!$C$85*12/Assumptions!$B$11/1000</f>
        <v>88.792423046566711</v>
      </c>
      <c r="D33" s="54">
        <f>D28*Pools_Scenarios!$C$85*12/Assumptions!$B$11/1000</f>
        <v>325.57221783741124</v>
      </c>
      <c r="E33" s="54">
        <f>E28*Pools_Scenarios!$C$85*12/Assumptions!$B$11/1000</f>
        <v>532.75453827940021</v>
      </c>
      <c r="F33" s="54">
        <f>F28*Pools_Scenarios!$C$85*12/Assumptions!$B$11/1000</f>
        <v>562.35201262825581</v>
      </c>
      <c r="G33" s="54">
        <f>G28*Pools_Scenarios!$C$85*12/Assumptions!$B$11/1000</f>
        <v>443.96211523283353</v>
      </c>
    </row>
    <row r="34" spans="1:7" x14ac:dyDescent="0.3">
      <c r="A34" s="19" t="s">
        <v>599</v>
      </c>
      <c r="B34" s="44" t="s">
        <v>591</v>
      </c>
      <c r="C34" s="54">
        <f>C33*Assumptions!$B$12</f>
        <v>65.706393054459369</v>
      </c>
      <c r="D34" s="54">
        <f>D33*Assumptions!$B$12</f>
        <v>240.92344119968431</v>
      </c>
      <c r="E34" s="54">
        <f>E33*Assumptions!$B$12</f>
        <v>394.23835832675616</v>
      </c>
      <c r="F34" s="54">
        <f>F33*Assumptions!$B$12</f>
        <v>416.14048934490927</v>
      </c>
      <c r="G34" s="54">
        <f>G33*Assumptions!$B$12</f>
        <v>328.53196527229682</v>
      </c>
    </row>
    <row r="35" spans="1:7" x14ac:dyDescent="0.3">
      <c r="A35" s="40" t="s">
        <v>600</v>
      </c>
      <c r="B35" s="41"/>
      <c r="C35" s="41"/>
      <c r="D35" s="41"/>
      <c r="E35" s="41"/>
      <c r="F35" s="41"/>
      <c r="G35" s="41"/>
    </row>
    <row r="36" spans="1:7" x14ac:dyDescent="0.3">
      <c r="A36" s="19" t="s">
        <v>601</v>
      </c>
      <c r="B36" s="44" t="s">
        <v>486</v>
      </c>
      <c r="C36" s="22">
        <f>Assumptions!$B$157</f>
        <v>1</v>
      </c>
      <c r="D36" s="22">
        <f>Assumptions!$C$157</f>
        <v>2</v>
      </c>
      <c r="E36" s="22">
        <f>Assumptions!$D$157</f>
        <v>2</v>
      </c>
      <c r="F36" s="22">
        <f>Assumptions!$E$157</f>
        <v>2</v>
      </c>
      <c r="G36" s="22">
        <f>Assumptions!$F$157</f>
        <v>2</v>
      </c>
    </row>
    <row r="37" spans="1:7" x14ac:dyDescent="0.3">
      <c r="A37" s="19" t="s">
        <v>602</v>
      </c>
      <c r="B37" s="44" t="s">
        <v>228</v>
      </c>
      <c r="C37" s="54">
        <f>C36*EV_Pilot!$C$46*Assumptions!$B$31</f>
        <v>35000</v>
      </c>
      <c r="D37" s="54">
        <f>D36*EV_Pilot!$C$46*Assumptions!$B$31</f>
        <v>70000</v>
      </c>
      <c r="E37" s="54">
        <f>E36*EV_Pilot!$C$46*Assumptions!$B$31</f>
        <v>70000</v>
      </c>
      <c r="F37" s="54">
        <f>F36*EV_Pilot!$C$46*Assumptions!$B$31</f>
        <v>70000</v>
      </c>
      <c r="G37" s="54">
        <f>G36*EV_Pilot!$C$46*Assumptions!$B$31</f>
        <v>70000</v>
      </c>
    </row>
    <row r="38" spans="1:7" x14ac:dyDescent="0.3">
      <c r="A38" s="19" t="s">
        <v>583</v>
      </c>
      <c r="B38" s="44" t="s">
        <v>228</v>
      </c>
      <c r="C38" s="54">
        <f>C37*C13</f>
        <v>16875</v>
      </c>
      <c r="D38" s="54">
        <f>C37*D13+D37*C13</f>
        <v>63750</v>
      </c>
      <c r="E38" s="54">
        <f>C37*E13+D37*D13+E37*C13</f>
        <v>118750</v>
      </c>
      <c r="F38" s="54">
        <f>C37*F13+D37*E13+E37*D13+F37*C13</f>
        <v>163750</v>
      </c>
      <c r="G38" s="54">
        <f>C37*G13+D37*F13+E37*E13+F37*D13+G37*C13</f>
        <v>198750</v>
      </c>
    </row>
    <row r="39" spans="1:7" x14ac:dyDescent="0.3">
      <c r="A39" s="19" t="s">
        <v>603</v>
      </c>
      <c r="B39" s="44" t="s">
        <v>604</v>
      </c>
      <c r="C39" s="66">
        <f>C36*C9</f>
        <v>0.5</v>
      </c>
      <c r="D39" s="66">
        <f>C36*D9+D36*C9</f>
        <v>2</v>
      </c>
      <c r="E39" s="66">
        <f>C36*E9+D36*D9+E36*C9</f>
        <v>4</v>
      </c>
      <c r="F39" s="66">
        <f>C36*F9+D36*E9+E36*D9+F36*C9</f>
        <v>6</v>
      </c>
      <c r="G39" s="66">
        <f>C36*G9+D36*F9+E36*E9+F36*D9+G36*C9</f>
        <v>8</v>
      </c>
    </row>
    <row r="40" spans="1:7" x14ac:dyDescent="0.3">
      <c r="A40" s="19" t="s">
        <v>605</v>
      </c>
      <c r="B40" s="44" t="s">
        <v>228</v>
      </c>
      <c r="C40" s="22">
        <f>EV_Pilot!$C$50</f>
        <v>-7403.2011999999995</v>
      </c>
      <c r="D40" s="22">
        <f>EV_Pilot!$C$50</f>
        <v>-7403.2011999999995</v>
      </c>
      <c r="E40" s="22">
        <f>EV_Pilot!$C$50</f>
        <v>-7403.2011999999995</v>
      </c>
      <c r="F40" s="22">
        <f>EV_Pilot!$C$50</f>
        <v>-7403.2011999999995</v>
      </c>
      <c r="G40" s="22">
        <f>EV_Pilot!$C$50</f>
        <v>-7403.2011999999995</v>
      </c>
    </row>
    <row r="41" spans="1:7" x14ac:dyDescent="0.3">
      <c r="A41" s="19" t="s">
        <v>606</v>
      </c>
      <c r="B41" s="44" t="s">
        <v>228</v>
      </c>
      <c r="C41" s="54">
        <f>C39*EV_Pilot!$C$54</f>
        <v>0</v>
      </c>
      <c r="D41" s="54">
        <f>D39*EV_Pilot!$C$54</f>
        <v>0</v>
      </c>
      <c r="E41" s="54">
        <f>E39*EV_Pilot!$C$54</f>
        <v>0</v>
      </c>
      <c r="F41" s="54">
        <f>F39*EV_Pilot!$C$54</f>
        <v>0</v>
      </c>
      <c r="G41" s="54">
        <f>G39*EV_Pilot!$C$54</f>
        <v>0</v>
      </c>
    </row>
    <row r="42" spans="1:7" x14ac:dyDescent="0.3">
      <c r="A42" s="19" t="s">
        <v>607</v>
      </c>
      <c r="B42" s="44" t="s">
        <v>228</v>
      </c>
      <c r="C42" s="54">
        <f>C68*EV_Pilot!$C$56+C69*EV_Pilot!$C$57+C39*EV_Pilot!$C$65</f>
        <v>1500</v>
      </c>
      <c r="D42" s="54">
        <f>D68*EV_Pilot!$C$56+D69*EV_Pilot!$C$57+D39*EV_Pilot!$C$65</f>
        <v>6000</v>
      </c>
      <c r="E42" s="54">
        <f>E68*EV_Pilot!$C$56+E69*EV_Pilot!$C$57+E39*EV_Pilot!$C$65</f>
        <v>12000</v>
      </c>
      <c r="F42" s="54">
        <f>F68*EV_Pilot!$C$56+F69*EV_Pilot!$C$57+F39*EV_Pilot!$C$65</f>
        <v>18000</v>
      </c>
      <c r="G42" s="54">
        <f>G68*EV_Pilot!$C$56+G69*EV_Pilot!$C$57+G39*EV_Pilot!$C$65</f>
        <v>24000</v>
      </c>
    </row>
    <row r="43" spans="1:7" x14ac:dyDescent="0.3">
      <c r="A43" s="19" t="s">
        <v>608</v>
      </c>
      <c r="B43" s="44" t="s">
        <v>228</v>
      </c>
      <c r="C43" s="54">
        <f>C37*C14</f>
        <v>2500</v>
      </c>
      <c r="D43" s="54">
        <f>C37*D14+D37*C14</f>
        <v>10000</v>
      </c>
      <c r="E43" s="54">
        <f>C37*E14+D37*D14+E37*C14</f>
        <v>20000</v>
      </c>
      <c r="F43" s="54">
        <f>C37*F14+D37*E14+E37*D14+F37*C14</f>
        <v>30000</v>
      </c>
      <c r="G43" s="54">
        <f>C37*G14+D37*F14+E37*E14+F37*D14+G37*C14</f>
        <v>40000</v>
      </c>
    </row>
    <row r="44" spans="1:7" x14ac:dyDescent="0.3">
      <c r="A44" s="40" t="s">
        <v>609</v>
      </c>
      <c r="B44" s="41"/>
      <c r="C44" s="41"/>
      <c r="D44" s="41"/>
      <c r="E44" s="41"/>
      <c r="F44" s="41"/>
      <c r="G44" s="41"/>
    </row>
    <row r="45" spans="1:7" x14ac:dyDescent="0.3">
      <c r="A45" s="26" t="s">
        <v>582</v>
      </c>
      <c r="B45" s="44" t="s">
        <v>228</v>
      </c>
      <c r="C45" s="67">
        <f t="shared" ref="C45:G46" si="0">C17+C26+C37</f>
        <v>2255000</v>
      </c>
      <c r="D45" s="67">
        <f t="shared" si="0"/>
        <v>2490000</v>
      </c>
      <c r="E45" s="67">
        <f t="shared" si="0"/>
        <v>2830000</v>
      </c>
      <c r="F45" s="67">
        <f t="shared" si="0"/>
        <v>3470000</v>
      </c>
      <c r="G45" s="67">
        <f t="shared" si="0"/>
        <v>3470000</v>
      </c>
    </row>
    <row r="46" spans="1:7" x14ac:dyDescent="0.3">
      <c r="A46" s="26" t="s">
        <v>583</v>
      </c>
      <c r="B46" s="44" t="s">
        <v>228</v>
      </c>
      <c r="C46" s="67">
        <f t="shared" si="0"/>
        <v>1126875</v>
      </c>
      <c r="D46" s="67">
        <f t="shared" si="0"/>
        <v>3273127.8385076909</v>
      </c>
      <c r="E46" s="67">
        <f t="shared" si="0"/>
        <v>5213269.3804340288</v>
      </c>
      <c r="F46" s="67">
        <f t="shared" si="0"/>
        <v>7080758.4922373202</v>
      </c>
      <c r="G46" s="67">
        <f t="shared" si="0"/>
        <v>8663849.7796096131</v>
      </c>
    </row>
    <row r="47" spans="1:7" x14ac:dyDescent="0.3">
      <c r="A47" s="26" t="s">
        <v>586</v>
      </c>
      <c r="B47" s="44" t="s">
        <v>228</v>
      </c>
      <c r="C47" s="67">
        <f>C20+C30+C42</f>
        <v>278404.01138085505</v>
      </c>
      <c r="D47" s="67">
        <f>D20+D30+D42</f>
        <v>873490.83759437676</v>
      </c>
      <c r="E47" s="67">
        <f>E20+E30+E42</f>
        <v>1525600.1974830385</v>
      </c>
      <c r="F47" s="67">
        <f>F20+F30+F42</f>
        <v>2215197.0178183569</v>
      </c>
      <c r="G47" s="67">
        <f>G20+G30+G42</f>
        <v>2886758.7649251912</v>
      </c>
    </row>
    <row r="48" spans="1:7" x14ac:dyDescent="0.3">
      <c r="A48" s="19" t="s">
        <v>610</v>
      </c>
      <c r="B48" s="44" t="s">
        <v>228</v>
      </c>
      <c r="C48" s="54">
        <f>C47*Assumptions!$B$8*(1+Assumptions!$B$9)</f>
        <v>91873.32375568217</v>
      </c>
      <c r="D48" s="54">
        <f>D47*Assumptions!$B$8*(1+Assumptions!$B$9)</f>
        <v>288251.97640614433</v>
      </c>
      <c r="E48" s="54">
        <f>E47*Assumptions!$B$8*(1+Assumptions!$B$9)</f>
        <v>503448.06516940275</v>
      </c>
      <c r="F48" s="54">
        <f>F47*Assumptions!$B$8*(1+Assumptions!$B$9)</f>
        <v>731015.01588005782</v>
      </c>
      <c r="G48" s="54">
        <f>G47*Assumptions!$B$8*(1+Assumptions!$B$9)</f>
        <v>952630.39242531324</v>
      </c>
    </row>
    <row r="49" spans="1:7" x14ac:dyDescent="0.3">
      <c r="A49" s="19" t="s">
        <v>611</v>
      </c>
      <c r="B49" s="44" t="s">
        <v>612</v>
      </c>
      <c r="C49" s="54">
        <f>C45/Assumptions!$B$7</f>
        <v>4510</v>
      </c>
      <c r="D49" s="54">
        <f>D45/Assumptions!$B$7</f>
        <v>4980</v>
      </c>
      <c r="E49" s="54">
        <f>E45/Assumptions!$B$7</f>
        <v>5660</v>
      </c>
      <c r="F49" s="54">
        <f>F45/Assumptions!$B$7</f>
        <v>6940</v>
      </c>
      <c r="G49" s="54">
        <f>G45/Assumptions!$B$7</f>
        <v>6940</v>
      </c>
    </row>
    <row r="50" spans="1:7" x14ac:dyDescent="0.3">
      <c r="A50" s="26" t="s">
        <v>613</v>
      </c>
      <c r="B50" s="44" t="s">
        <v>228</v>
      </c>
      <c r="C50" s="68">
        <f>C18*Assumptions!$B$19+C27*Assumptions!$B$26-C59+C42-C43</f>
        <v>50465.897411141188</v>
      </c>
      <c r="D50" s="68">
        <f>D18*Assumptions!$B$19+D27*Assumptions!$B$26-D59+D42-D43</f>
        <v>140973.88710356466</v>
      </c>
      <c r="E50" s="68">
        <f>E18*Assumptions!$B$19+E27*Assumptions!$B$26-E59+E42-E43</f>
        <v>219193.59442189967</v>
      </c>
      <c r="F50" s="68">
        <f>F18*Assumptions!$B$19+F27*Assumptions!$B$26-F59+F42-F43</f>
        <v>302787.27283375361</v>
      </c>
      <c r="G50" s="68">
        <f>G18*Assumptions!$B$19+G27*Assumptions!$B$26-G59+G42-G43</f>
        <v>382758.03760187834</v>
      </c>
    </row>
    <row r="51" spans="1:7" x14ac:dyDescent="0.3">
      <c r="A51" s="26" t="s">
        <v>614</v>
      </c>
      <c r="B51" s="44" t="s">
        <v>591</v>
      </c>
      <c r="C51" s="68">
        <f>C23+C34</f>
        <v>1453.2063930544593</v>
      </c>
      <c r="D51" s="68">
        <f>D23+D34</f>
        <v>4403.423441199684</v>
      </c>
      <c r="E51" s="68">
        <f>E23+E34</f>
        <v>7794.2383583267565</v>
      </c>
      <c r="F51" s="68">
        <f>F23+F34</f>
        <v>11978.640489344909</v>
      </c>
      <c r="G51" s="68">
        <f>G23+G34</f>
        <v>16516.031965272297</v>
      </c>
    </row>
    <row r="53" spans="1:7" x14ac:dyDescent="0.3">
      <c r="A53" s="16" t="s">
        <v>615</v>
      </c>
    </row>
    <row r="55" spans="1:7" x14ac:dyDescent="0.3">
      <c r="A55" s="69" t="s">
        <v>616</v>
      </c>
      <c r="B55" s="70"/>
      <c r="C55" s="70"/>
      <c r="D55" s="70"/>
      <c r="E55" s="70"/>
      <c r="F55" s="70"/>
      <c r="G55" s="70"/>
    </row>
    <row r="56" spans="1:7" x14ac:dyDescent="0.3">
      <c r="A56" s="71" t="s">
        <v>617</v>
      </c>
      <c r="B56" s="44" t="s">
        <v>228</v>
      </c>
      <c r="C56" s="54">
        <f>MAX(Pools_Scenarios!$C$85,Assumptions!$B$72)*Assumptions!$B$25</f>
        <v>640</v>
      </c>
      <c r="D56" s="54">
        <f>MAX(Pools_Scenarios!$C$85,Assumptions!$B$72)*Assumptions!$B$25</f>
        <v>640</v>
      </c>
      <c r="E56" s="54">
        <f>MAX(Pools_Scenarios!$C$85,Assumptions!$B$72)*Assumptions!$B$25</f>
        <v>640</v>
      </c>
      <c r="F56" s="54">
        <f>MAX(Pools_Scenarios!$C$85,Assumptions!$B$72)*Assumptions!$B$25</f>
        <v>640</v>
      </c>
      <c r="G56" s="54">
        <f>MAX(Pools_Scenarios!$C$85,Assumptions!$B$72)*Assumptions!$B$25</f>
        <v>640</v>
      </c>
    </row>
    <row r="57" spans="1:7" x14ac:dyDescent="0.3">
      <c r="A57" s="71" t="s">
        <v>618</v>
      </c>
      <c r="B57" s="44" t="s">
        <v>228</v>
      </c>
      <c r="C57" s="54">
        <f>Assumptions!$B$23*Pools_Scenarios!$C$91*Assumptions!$B$74</f>
        <v>1000</v>
      </c>
      <c r="D57" s="54">
        <f>Assumptions!$B$23*Pools_Scenarios!$C$91*Assumptions!$B$74</f>
        <v>1000</v>
      </c>
      <c r="E57" s="54">
        <f>Assumptions!$B$23*Pools_Scenarios!$C$91*Assumptions!$B$74</f>
        <v>1000</v>
      </c>
      <c r="F57" s="54">
        <f>Assumptions!$B$23*Pools_Scenarios!$C$91*Assumptions!$B$74</f>
        <v>1000</v>
      </c>
      <c r="G57" s="54">
        <f>Assumptions!$B$23*Pools_Scenarios!$C$91*Assumptions!$B$74</f>
        <v>1000</v>
      </c>
    </row>
    <row r="58" spans="1:7" x14ac:dyDescent="0.3">
      <c r="A58" s="71" t="s">
        <v>619</v>
      </c>
      <c r="B58" s="44" t="s">
        <v>228</v>
      </c>
      <c r="C58" s="54">
        <f>MAX(0,C31)*(1-Assumptions!$B$28)</f>
        <v>162.11965481882544</v>
      </c>
      <c r="D58" s="54">
        <f>MAX(0,D31)*(1-Assumptions!$B$28)</f>
        <v>162.11965481882544</v>
      </c>
      <c r="E58" s="54">
        <f>MAX(0,E31)*(1-Assumptions!$B$28)</f>
        <v>162.11965481882544</v>
      </c>
      <c r="F58" s="54">
        <f>MAX(0,F31)*(1-Assumptions!$B$28)</f>
        <v>162.11965481882544</v>
      </c>
      <c r="G58" s="54">
        <f>MAX(0,G31)*(1-Assumptions!$B$28)</f>
        <v>162.11965481882544</v>
      </c>
    </row>
    <row r="59" spans="1:7" x14ac:dyDescent="0.3">
      <c r="A59" s="71" t="s">
        <v>620</v>
      </c>
      <c r="B59" s="44" t="s">
        <v>228</v>
      </c>
      <c r="C59" s="54">
        <f>C28*(MAX(0,C57-C58)+MAX(0,-C31))</f>
        <v>6284.1025888588092</v>
      </c>
      <c r="D59" s="54">
        <f>D28*(MAX(0,D57-D58)+MAX(0,-D31))</f>
        <v>23041.7094924823</v>
      </c>
      <c r="E59" s="54">
        <f>E28*(MAX(0,E57-E58)+MAX(0,-E31))</f>
        <v>37704.615533152857</v>
      </c>
      <c r="F59" s="54">
        <f>F28*(MAX(0,F57-F58)+MAX(0,-F31))</f>
        <v>39799.316396105794</v>
      </c>
      <c r="G59" s="54">
        <f>G28*(MAX(0,G57-G58)+MAX(0,-G31))</f>
        <v>31420.512944294045</v>
      </c>
    </row>
    <row r="60" spans="1:7" x14ac:dyDescent="0.3">
      <c r="A60" s="71" t="s">
        <v>621</v>
      </c>
      <c r="B60" s="44" t="s">
        <v>622</v>
      </c>
      <c r="C60" s="65">
        <f>EV_Pilot!$C$9</f>
        <v>27</v>
      </c>
      <c r="D60" s="65">
        <f>EV_Pilot!$C$9</f>
        <v>27</v>
      </c>
      <c r="E60" s="65">
        <f>EV_Pilot!$C$9</f>
        <v>27</v>
      </c>
      <c r="F60" s="65">
        <f>EV_Pilot!$C$9</f>
        <v>27</v>
      </c>
      <c r="G60" s="65">
        <f>EV_Pilot!$C$9</f>
        <v>27</v>
      </c>
    </row>
    <row r="61" spans="1:7" x14ac:dyDescent="0.3">
      <c r="A61" s="71" t="s">
        <v>623</v>
      </c>
      <c r="B61" s="44" t="s">
        <v>228</v>
      </c>
      <c r="C61" s="22">
        <f>EV_Pilot!$C$65</f>
        <v>3000</v>
      </c>
      <c r="D61" s="22">
        <f>EV_Pilot!$C$65</f>
        <v>3000</v>
      </c>
      <c r="E61" s="22">
        <f>EV_Pilot!$C$65</f>
        <v>3000</v>
      </c>
      <c r="F61" s="22">
        <f>EV_Pilot!$C$65</f>
        <v>3000</v>
      </c>
      <c r="G61" s="22">
        <f>EV_Pilot!$C$65</f>
        <v>3000</v>
      </c>
    </row>
    <row r="62" spans="1:7" x14ac:dyDescent="0.3">
      <c r="A62" s="71" t="s">
        <v>624</v>
      </c>
      <c r="B62" s="44" t="s">
        <v>228</v>
      </c>
      <c r="C62" s="54">
        <f>C39*C61</f>
        <v>1500</v>
      </c>
      <c r="D62" s="54">
        <f>D39*D61</f>
        <v>6000</v>
      </c>
      <c r="E62" s="54">
        <f>E39*E61</f>
        <v>12000</v>
      </c>
      <c r="F62" s="54">
        <f>F39*F61</f>
        <v>18000</v>
      </c>
      <c r="G62" s="54">
        <f>G39*G61</f>
        <v>24000</v>
      </c>
    </row>
    <row r="63" spans="1:7" x14ac:dyDescent="0.3">
      <c r="A63" s="71" t="s">
        <v>625</v>
      </c>
      <c r="B63" s="44" t="s">
        <v>589</v>
      </c>
      <c r="C63" s="54">
        <f>C22*Pools_Scenarios!$C$101</f>
        <v>375</v>
      </c>
      <c r="D63" s="54">
        <f>D22*Pools_Scenarios!$C$101</f>
        <v>1125</v>
      </c>
      <c r="E63" s="54">
        <f>E22*Pools_Scenarios!$C$101</f>
        <v>2000</v>
      </c>
      <c r="F63" s="54">
        <f>F22*Pools_Scenarios!$C$101</f>
        <v>3125</v>
      </c>
      <c r="G63" s="54">
        <f>G22*Pools_Scenarios!$C$101</f>
        <v>4375</v>
      </c>
    </row>
    <row r="65" spans="1:7" x14ac:dyDescent="0.3">
      <c r="A65" s="69" t="s">
        <v>626</v>
      </c>
      <c r="B65" s="70"/>
      <c r="C65" s="70"/>
      <c r="D65" s="70"/>
      <c r="E65" s="70"/>
      <c r="F65" s="70"/>
      <c r="G65" s="70"/>
    </row>
    <row r="66" spans="1:7" x14ac:dyDescent="0.3">
      <c r="A66" s="71" t="s">
        <v>627</v>
      </c>
      <c r="B66" s="44"/>
      <c r="C66" s="48">
        <f>C9*IF(C6-0.5&lt;EV_Pilot!$C$73,1,0)</f>
        <v>0.5</v>
      </c>
      <c r="D66" s="48">
        <f>D9*IF(D6-0.5&lt;EV_Pilot!$C$73,1,0)</f>
        <v>1</v>
      </c>
      <c r="E66" s="48">
        <f>E9*IF(E6-0.5&lt;EV_Pilot!$C$73,1,0)</f>
        <v>1</v>
      </c>
      <c r="F66" s="48">
        <f>F9*IF(F6-0.5&lt;EV_Pilot!$C$73,1,0)</f>
        <v>1</v>
      </c>
      <c r="G66" s="48">
        <f>G9*IF(G6-0.5&lt;EV_Pilot!$C$73,1,0)</f>
        <v>1</v>
      </c>
    </row>
    <row r="67" spans="1:7" x14ac:dyDescent="0.3">
      <c r="A67" s="71" t="s">
        <v>628</v>
      </c>
      <c r="B67" s="44"/>
      <c r="C67" s="48">
        <f>C9-C66</f>
        <v>0</v>
      </c>
      <c r="D67" s="48">
        <f>D9-D66</f>
        <v>0</v>
      </c>
      <c r="E67" s="48">
        <f>E9-E66</f>
        <v>0</v>
      </c>
      <c r="F67" s="48">
        <f>F9-F66</f>
        <v>0</v>
      </c>
      <c r="G67" s="48">
        <f>G9-G66</f>
        <v>0</v>
      </c>
    </row>
    <row r="68" spans="1:7" x14ac:dyDescent="0.3">
      <c r="A68" s="71" t="s">
        <v>629</v>
      </c>
      <c r="B68" s="44" t="s">
        <v>604</v>
      </c>
      <c r="C68" s="66">
        <f>C36*C66</f>
        <v>0.5</v>
      </c>
      <c r="D68" s="66">
        <f>C36*D66+D36*C66</f>
        <v>2</v>
      </c>
      <c r="E68" s="66">
        <f>C36*E66+D36*D66+E36*C66</f>
        <v>4</v>
      </c>
      <c r="F68" s="66">
        <f>C36*F66+D36*E66+E36*D66+F36*C66</f>
        <v>6</v>
      </c>
      <c r="G68" s="66">
        <f>C36*G66+D36*F66+E36*E66+F36*D66+G36*C66</f>
        <v>8</v>
      </c>
    </row>
    <row r="69" spans="1:7" x14ac:dyDescent="0.3">
      <c r="A69" s="71" t="s">
        <v>630</v>
      </c>
      <c r="B69" s="44" t="s">
        <v>604</v>
      </c>
      <c r="C69" s="66">
        <f>C36*C67</f>
        <v>0</v>
      </c>
      <c r="D69" s="66">
        <f>C36*D67+D36*C67</f>
        <v>0</v>
      </c>
      <c r="E69" s="66">
        <f>C36*E67+D36*D67+E36*C67</f>
        <v>0</v>
      </c>
      <c r="F69" s="66">
        <f>C36*F67+D36*E67+E36*D67+F36*C67</f>
        <v>0</v>
      </c>
      <c r="G69" s="66">
        <f>C36*G67+D36*F67+E36*E67+F36*D67+G36*C67</f>
        <v>0</v>
      </c>
    </row>
    <row r="70" spans="1:7" x14ac:dyDescent="0.3">
      <c r="A70" s="71" t="s">
        <v>631</v>
      </c>
      <c r="B70" s="44" t="s">
        <v>228</v>
      </c>
      <c r="C70" s="54">
        <f>IF(Assumptions!$B$135=1,C69,C39)*EV_Pilot!$C$58</f>
        <v>0</v>
      </c>
      <c r="D70" s="54">
        <f>IF(Assumptions!$B$135=1,D69,D39)*EV_Pilot!$C$58</f>
        <v>0</v>
      </c>
      <c r="E70" s="54">
        <f>IF(Assumptions!$B$135=1,E69,E39)*EV_Pilot!$C$58</f>
        <v>0</v>
      </c>
      <c r="F70" s="54">
        <f>IF(Assumptions!$B$135=1,F69,F39)*EV_Pilot!$C$58</f>
        <v>0</v>
      </c>
      <c r="G70" s="54">
        <f>IF(Assumptions!$B$135=1,G69,G39)*EV_Pilot!$C$58</f>
        <v>0</v>
      </c>
    </row>
    <row r="71" spans="1:7" x14ac:dyDescent="0.3">
      <c r="A71" s="71" t="s">
        <v>632</v>
      </c>
      <c r="B71" s="44" t="s">
        <v>228</v>
      </c>
      <c r="C71" s="54">
        <f>C39*EV_Pilot!$C$66</f>
        <v>495</v>
      </c>
      <c r="D71" s="54">
        <f>D39*EV_Pilot!$C$66</f>
        <v>1980</v>
      </c>
      <c r="E71" s="54">
        <f>E39*EV_Pilot!$C$66</f>
        <v>3960</v>
      </c>
      <c r="F71" s="54">
        <f>F39*EV_Pilot!$C$66</f>
        <v>5940</v>
      </c>
      <c r="G71" s="54">
        <f>G39*EV_Pilot!$C$66</f>
        <v>7920</v>
      </c>
    </row>
    <row r="72" spans="1:7" x14ac:dyDescent="0.3">
      <c r="A72" s="71" t="s">
        <v>633</v>
      </c>
      <c r="B72" s="44" t="s">
        <v>228</v>
      </c>
      <c r="C72" s="54">
        <f>IF(Assumptions!$B$135=1,C69,C39)*EV_Pilot!$C$59</f>
        <v>0</v>
      </c>
      <c r="D72" s="54">
        <f>IF(Assumptions!$B$135=1,D69,D39)*EV_Pilot!$C$59</f>
        <v>0</v>
      </c>
      <c r="E72" s="54">
        <f>IF(Assumptions!$B$135=1,E69,E39)*EV_Pilot!$C$59</f>
        <v>0</v>
      </c>
      <c r="F72" s="54">
        <f>IF(Assumptions!$B$135=1,F69,F39)*EV_Pilot!$C$59</f>
        <v>0</v>
      </c>
      <c r="G72" s="54">
        <f>IF(Assumptions!$B$135=1,G69,G39)*EV_Pilot!$C$59</f>
        <v>0</v>
      </c>
    </row>
    <row r="73" spans="1:7" x14ac:dyDescent="0.3">
      <c r="A73" s="71" t="s">
        <v>634</v>
      </c>
      <c r="B73" s="44" t="s">
        <v>228</v>
      </c>
      <c r="C73" s="54">
        <f>C39*EV_Pilot!$C$67</f>
        <v>495</v>
      </c>
      <c r="D73" s="54">
        <f>D39*EV_Pilot!$C$67</f>
        <v>1980</v>
      </c>
      <c r="E73" s="54">
        <f>E39*EV_Pilot!$C$67</f>
        <v>3960</v>
      </c>
      <c r="F73" s="54">
        <f>F39*EV_Pilot!$C$67</f>
        <v>5940</v>
      </c>
      <c r="G73" s="54">
        <f>G39*EV_Pilot!$C$67</f>
        <v>7920</v>
      </c>
    </row>
    <row r="75" spans="1:7" x14ac:dyDescent="0.3">
      <c r="A75" s="69" t="s">
        <v>635</v>
      </c>
      <c r="B75" s="70"/>
      <c r="C75" s="70"/>
      <c r="D75" s="70"/>
      <c r="E75" s="70"/>
      <c r="F75" s="70"/>
      <c r="G75" s="70"/>
    </row>
    <row r="76" spans="1:7" x14ac:dyDescent="0.3">
      <c r="A76" s="71" t="s">
        <v>636</v>
      </c>
      <c r="B76" s="44"/>
      <c r="C76" s="48">
        <f>0.5/Assumptions!$B$151</f>
        <v>0.1</v>
      </c>
      <c r="D76" s="48">
        <f>IF(2-0.5&lt;=Assumptions!$B$151,1/Assumptions!$B$151,0)</f>
        <v>0.2</v>
      </c>
      <c r="E76" s="48">
        <f>IF(3-0.5&lt;=Assumptions!$B$151,1/Assumptions!$B$151,0)</f>
        <v>0.2</v>
      </c>
      <c r="F76" s="48">
        <f>IF(4-0.5&lt;=Assumptions!$B$151,1/Assumptions!$B$151,0)</f>
        <v>0.2</v>
      </c>
      <c r="G76" s="48">
        <f>IF(5-0.5&lt;=Assumptions!$B$151,1/Assumptions!$B$151,0)</f>
        <v>0.2</v>
      </c>
    </row>
    <row r="77" spans="1:7" x14ac:dyDescent="0.3">
      <c r="A77" s="71" t="s">
        <v>637</v>
      </c>
      <c r="B77" s="44" t="s">
        <v>228</v>
      </c>
      <c r="C77" s="54">
        <f>C45*C76</f>
        <v>225500</v>
      </c>
      <c r="D77" s="54">
        <f>C45*D76+D45*C76</f>
        <v>700000</v>
      </c>
      <c r="E77" s="54">
        <f>C45*E76+D45*D76+E45*C76</f>
        <v>1232000</v>
      </c>
      <c r="F77" s="54">
        <f>C45*F76+D45*E76+E45*D76+F45*C76</f>
        <v>1862000</v>
      </c>
      <c r="G77" s="54">
        <f>C45*G76+D45*F76+E45*E76+F45*D76+G45*C76</f>
        <v>2556000</v>
      </c>
    </row>
    <row r="78" spans="1:7" x14ac:dyDescent="0.3">
      <c r="A78" s="71" t="s">
        <v>638</v>
      </c>
      <c r="B78" s="44" t="s">
        <v>228</v>
      </c>
      <c r="C78" s="54">
        <f>C77*Pools_Scenarios!$C$102*(1+Assumptions!$B$149)*Pools_Scenarios!$C$103</f>
        <v>17047.800000000003</v>
      </c>
      <c r="D78" s="54">
        <f>D77*Pools_Scenarios!$C$102*(1+Assumptions!$B$149)*Pools_Scenarios!$C$103</f>
        <v>52920.000000000015</v>
      </c>
      <c r="E78" s="54">
        <f>E77*Pools_Scenarios!$C$102*(1+Assumptions!$B$149)*Pools_Scenarios!$C$103</f>
        <v>93139.200000000026</v>
      </c>
      <c r="F78" s="54">
        <f>F77*Pools_Scenarios!$C$102*(1+Assumptions!$B$149)*Pools_Scenarios!$C$103</f>
        <v>140767.20000000001</v>
      </c>
      <c r="G78" s="54">
        <f>G77*Pools_Scenarios!$C$102*(1+Assumptions!$B$149)*Pools_Scenarios!$C$103</f>
        <v>193233.60000000003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BFBF"/>
  </sheetPr>
  <dimension ref="A1:G34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52" customWidth="1"/>
    <col min="3" max="7" width="14" customWidth="1"/>
  </cols>
  <sheetData>
    <row r="1" spans="1:7" ht="17.399999999999999" x14ac:dyDescent="0.3">
      <c r="A1" s="13" t="s">
        <v>1112</v>
      </c>
    </row>
    <row r="2" spans="1:7" x14ac:dyDescent="0.3">
      <c r="A2" s="14" t="s">
        <v>778</v>
      </c>
    </row>
    <row r="4" spans="1:7" x14ac:dyDescent="0.3">
      <c r="A4" s="20" t="s">
        <v>779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781</v>
      </c>
      <c r="B5" s="41"/>
      <c r="C5" s="41"/>
      <c r="D5" s="41"/>
      <c r="E5" s="41"/>
      <c r="F5" s="41"/>
      <c r="G5" s="41"/>
    </row>
    <row r="6" spans="1:7" ht="24" x14ac:dyDescent="0.3">
      <c r="A6" s="19" t="s">
        <v>782</v>
      </c>
      <c r="B6" s="85" t="s">
        <v>783</v>
      </c>
      <c r="C6" s="22">
        <f>C_Pools!C18*((Assumptions!$B$21-Assumptions!$B$19)*Pools_Scenarios!$C$87+Assumptions!$B$70)</f>
        <v>19680</v>
      </c>
      <c r="D6" s="22">
        <f>C_Pools!D18*((Assumptions!$B$21-Assumptions!$B$19)*Pools_Scenarios!$C$87+Assumptions!$B$70)</f>
        <v>55478.415972835683</v>
      </c>
      <c r="E6" s="22">
        <f>C_Pools!E18*((Assumptions!$B$21-Assumptions!$B$19)*Pools_Scenarios!$C$87+Assumptions!$B$70)</f>
        <v>90535.584689984506</v>
      </c>
      <c r="F6" s="22">
        <f>C_Pools!F18*((Assumptions!$B$21-Assumptions!$B$19)*Pools_Scenarios!$C$87+Assumptions!$B$70)</f>
        <v>129859.24911294073</v>
      </c>
      <c r="G6" s="22">
        <f>C_Pools!G18*((Assumptions!$B$21-Assumptions!$B$19)*Pools_Scenarios!$C$87+Assumptions!$B$70)</f>
        <v>164072.34467555178</v>
      </c>
    </row>
    <row r="7" spans="1:7" x14ac:dyDescent="0.3">
      <c r="A7" s="19" t="s">
        <v>784</v>
      </c>
      <c r="B7" s="85" t="s">
        <v>785</v>
      </c>
      <c r="C7" s="22">
        <f>C_Pools!C28*MAX(0,C_Pools!C31)*Assumptions!$B$28</f>
        <v>1215.8974111411908</v>
      </c>
      <c r="D7" s="22">
        <f>C_Pools!D28*MAX(0,C_Pools!D31)*Assumptions!$B$28</f>
        <v>4458.2905075176996</v>
      </c>
      <c r="E7" s="22">
        <f>C_Pools!E28*MAX(0,C_Pools!E31)*Assumptions!$B$28</f>
        <v>7295.3844668471447</v>
      </c>
      <c r="F7" s="22">
        <f>C_Pools!F28*MAX(0,C_Pools!F31)*Assumptions!$B$28</f>
        <v>7700.6836038942083</v>
      </c>
      <c r="G7" s="22">
        <f>C_Pools!G28*MAX(0,C_Pools!G31)*Assumptions!$B$28</f>
        <v>6079.4870557059539</v>
      </c>
    </row>
    <row r="8" spans="1:7" ht="24" x14ac:dyDescent="0.3">
      <c r="A8" s="19" t="s">
        <v>786</v>
      </c>
      <c r="B8" s="85" t="s">
        <v>787</v>
      </c>
      <c r="C8" s="22">
        <f>C_Pools!C70-C_Pools!C71</f>
        <v>-495</v>
      </c>
      <c r="D8" s="22">
        <f>C_Pools!D70-C_Pools!D71</f>
        <v>-1980</v>
      </c>
      <c r="E8" s="22">
        <f>C_Pools!E70-C_Pools!E71</f>
        <v>-3960</v>
      </c>
      <c r="F8" s="22">
        <f>C_Pools!F70-C_Pools!F71</f>
        <v>-5940</v>
      </c>
      <c r="G8" s="22">
        <f>C_Pools!G70-C_Pools!G71</f>
        <v>-7920</v>
      </c>
    </row>
    <row r="9" spans="1:7" x14ac:dyDescent="0.3">
      <c r="A9" s="19" t="s">
        <v>788</v>
      </c>
      <c r="B9" s="85" t="s">
        <v>789</v>
      </c>
      <c r="C9" s="22">
        <f>C_Pools!C48*Assumptions!$B$10</f>
        <v>918.73323755682168</v>
      </c>
      <c r="D9" s="22">
        <f>C_Pools!D48*Assumptions!$B$10</f>
        <v>2882.5197640614433</v>
      </c>
      <c r="E9" s="22">
        <f>C_Pools!E48*Assumptions!$B$10</f>
        <v>5034.480651694028</v>
      </c>
      <c r="F9" s="22">
        <f>C_Pools!F48*Assumptions!$B$10</f>
        <v>7310.1501588005785</v>
      </c>
      <c r="G9" s="22">
        <f>C_Pools!G48*Assumptions!$B$10</f>
        <v>9526.3039242531322</v>
      </c>
    </row>
    <row r="10" spans="1:7" x14ac:dyDescent="0.3">
      <c r="A10" s="26" t="s">
        <v>790</v>
      </c>
      <c r="B10" s="85"/>
      <c r="C10" s="67">
        <f>SUM(C6:C9)+C31+C34</f>
        <v>5808.8056486980095</v>
      </c>
      <c r="D10" s="67">
        <f>SUM(D6:D9)+D31+D34</f>
        <v>12530.15124441481</v>
      </c>
      <c r="E10" s="67">
        <f>SUM(E6:E9)+E31+E34</f>
        <v>13963.449808525649</v>
      </c>
      <c r="F10" s="67">
        <f>SUM(F6:F9)+F31+F34</f>
        <v>10971.007875635521</v>
      </c>
      <c r="G10" s="67">
        <f>SUM(G6:G9)+G31+G34</f>
        <v>-3544.0893444891844</v>
      </c>
    </row>
    <row r="11" spans="1:7" x14ac:dyDescent="0.3">
      <c r="A11" s="19" t="s">
        <v>791</v>
      </c>
      <c r="B11" s="85" t="s">
        <v>792</v>
      </c>
      <c r="C11" s="22">
        <f>Assumptions!$B$13*Assumptions!$B$158*Pools_Scenarios!$C$83</f>
        <v>0</v>
      </c>
      <c r="D11" s="22">
        <f>Assumptions!$B$13*Assumptions!$C$158*Pools_Scenarios!$C$83</f>
        <v>0</v>
      </c>
      <c r="E11" s="22">
        <f>Assumptions!$B$13*Assumptions!$D$158*Pools_Scenarios!$C$83</f>
        <v>0</v>
      </c>
      <c r="F11" s="22">
        <f>Assumptions!$B$13*Assumptions!$E$158*Pools_Scenarios!$C$83</f>
        <v>0</v>
      </c>
      <c r="G11" s="22">
        <f>Assumptions!$B$13*Assumptions!$F$158*Pools_Scenarios!$C$83</f>
        <v>0</v>
      </c>
    </row>
    <row r="12" spans="1:7" x14ac:dyDescent="0.3">
      <c r="A12" s="26" t="s">
        <v>793</v>
      </c>
      <c r="B12" s="85"/>
      <c r="C12" s="67">
        <f>C10+C11</f>
        <v>5808.8056486980095</v>
      </c>
      <c r="D12" s="67">
        <f>D10+D11</f>
        <v>12530.15124441481</v>
      </c>
      <c r="E12" s="67">
        <f>E10+E11</f>
        <v>13963.449808525649</v>
      </c>
      <c r="F12" s="67">
        <f>F10+F11</f>
        <v>10971.007875635521</v>
      </c>
      <c r="G12" s="67">
        <f>G10+G11</f>
        <v>-3544.0893444891844</v>
      </c>
    </row>
    <row r="14" spans="1:7" x14ac:dyDescent="0.3">
      <c r="A14" s="40" t="s">
        <v>794</v>
      </c>
      <c r="B14" s="41"/>
      <c r="C14" s="41"/>
      <c r="D14" s="41"/>
      <c r="E14" s="41"/>
      <c r="F14" s="41"/>
      <c r="G14" s="41"/>
    </row>
    <row r="15" spans="1:7" x14ac:dyDescent="0.3">
      <c r="A15" s="19" t="s">
        <v>795</v>
      </c>
      <c r="B15" s="85" t="s">
        <v>796</v>
      </c>
      <c r="C15" s="22">
        <f>C_Pools!C50</f>
        <v>50465.897411141188</v>
      </c>
      <c r="D15" s="22">
        <f>C_Pools!D50</f>
        <v>140973.88710356466</v>
      </c>
      <c r="E15" s="22">
        <f>C_Pools!E50</f>
        <v>219193.59442189967</v>
      </c>
      <c r="F15" s="22">
        <f>C_Pools!F50</f>
        <v>302787.27283375361</v>
      </c>
      <c r="G15" s="22">
        <f>C_Pools!G50</f>
        <v>382758.03760187834</v>
      </c>
    </row>
    <row r="16" spans="1:7" x14ac:dyDescent="0.3">
      <c r="A16" s="19" t="s">
        <v>597</v>
      </c>
      <c r="B16" s="85" t="s">
        <v>797</v>
      </c>
      <c r="C16" s="22">
        <f>C_Pools!C32</f>
        <v>8999.9999999999982</v>
      </c>
      <c r="D16" s="22">
        <f>C_Pools!D32</f>
        <v>32999.999999999993</v>
      </c>
      <c r="E16" s="22">
        <f>C_Pools!E32</f>
        <v>53999.999999999985</v>
      </c>
      <c r="F16" s="22">
        <f>C_Pools!F32</f>
        <v>56999.999999999985</v>
      </c>
      <c r="G16" s="22">
        <f>C_Pools!G32</f>
        <v>44999.999999999993</v>
      </c>
    </row>
    <row r="17" spans="1:7" x14ac:dyDescent="0.3">
      <c r="A17" s="19" t="s">
        <v>798</v>
      </c>
      <c r="B17" s="85" t="s">
        <v>799</v>
      </c>
      <c r="C17" s="22">
        <f>C_Pools!C51</f>
        <v>1453.2063930544593</v>
      </c>
      <c r="D17" s="22">
        <f>C_Pools!D51</f>
        <v>4403.423441199684</v>
      </c>
      <c r="E17" s="22">
        <f>C_Pools!E51</f>
        <v>7794.2383583267565</v>
      </c>
      <c r="F17" s="22">
        <f>C_Pools!F51</f>
        <v>11978.640489344909</v>
      </c>
      <c r="G17" s="22">
        <f>C_Pools!G51</f>
        <v>16516.031965272297</v>
      </c>
    </row>
    <row r="19" spans="1:7" x14ac:dyDescent="0.3">
      <c r="A19" s="40" t="s">
        <v>800</v>
      </c>
      <c r="B19" s="41"/>
      <c r="C19" s="41"/>
      <c r="D19" s="41"/>
      <c r="E19" s="41"/>
      <c r="F19" s="41"/>
      <c r="G19" s="41"/>
    </row>
    <row r="20" spans="1:7" x14ac:dyDescent="0.3">
      <c r="A20" s="19" t="s">
        <v>801</v>
      </c>
      <c r="B20" s="85" t="s">
        <v>802</v>
      </c>
      <c r="C20" s="54">
        <f>Assumptions!$B$159</f>
        <v>1</v>
      </c>
      <c r="D20" s="54">
        <f>Assumptions!$B$159+Pools_Scenarios!$C$86</f>
        <v>2</v>
      </c>
      <c r="E20" s="54">
        <f>Assumptions!$B$159+Pools_Scenarios!$C$86+Assumptions!$D$159</f>
        <v>4</v>
      </c>
      <c r="F20" s="54">
        <f>Assumptions!$B$159+Pools_Scenarios!$C$86+Assumptions!$D$159+Assumptions!$E$159</f>
        <v>6</v>
      </c>
      <c r="G20" s="54">
        <f>Assumptions!$B$159+Pools_Scenarios!$C$86+Assumptions!$D$159+Assumptions!$E$159+Assumptions!$F$159</f>
        <v>8</v>
      </c>
    </row>
    <row r="21" spans="1:7" x14ac:dyDescent="0.3">
      <c r="A21" s="19" t="s">
        <v>803</v>
      </c>
      <c r="B21" s="85"/>
      <c r="C21" s="54">
        <f>Assumptions!$B$159*Assumptions!$B$160*C10</f>
        <v>5808.8056486980095</v>
      </c>
      <c r="D21" s="54">
        <f>Assumptions!$B$159*Assumptions!$B$160*D10+Pools_Scenarios!$C$86*Pools_Scenarios!$C$90*C10</f>
        <v>14853.673503894013</v>
      </c>
      <c r="E21" s="54">
        <f>Assumptions!$B$159*Assumptions!$B$160*E10+Pools_Scenarios!$C$86*Pools_Scenarios!$C$90*D10+Assumptions!$D$159*Pools_Scenarios!$C$90*C10</f>
        <v>23622.554825249979</v>
      </c>
      <c r="F21" s="54">
        <f>Assumptions!$B$159*Assumptions!$B$160*F10+Pools_Scenarios!$C$86*Pools_Scenarios!$C$90*E10+Assumptions!$D$159*Pools_Scenarios!$C$90*D10+Assumptions!$E$159*Pools_Scenarios!$C$90*C10</f>
        <v>31227.553313536038</v>
      </c>
      <c r="G21" s="54">
        <f>Assumptions!$B$159*Assumptions!$B$160*G10+Pools_Scenarios!$C$86*Pools_Scenarios!$C$90*F10+Assumptions!$D$159*Pools_Scenarios!$C$90*E10+Assumptions!$E$159*Pools_Scenarios!$C$90*D10+Assumptions!$F$159*Pools_Scenarios!$C$90*C10</f>
        <v>26686.239167075801</v>
      </c>
    </row>
    <row r="22" spans="1:7" x14ac:dyDescent="0.3">
      <c r="A22" s="19" t="s">
        <v>804</v>
      </c>
      <c r="B22" s="85"/>
      <c r="C22" s="54">
        <f>Assumptions!$B$159*Assumptions!$B$160*C11</f>
        <v>0</v>
      </c>
      <c r="D22" s="54">
        <f>Assumptions!$B$159*Assumptions!$B$160*D11+Pools_Scenarios!$C$86*Pools_Scenarios!$C$90*C11</f>
        <v>0</v>
      </c>
      <c r="E22" s="54">
        <f>Assumptions!$B$159*Assumptions!$B$160*E11+Pools_Scenarios!$C$86*Pools_Scenarios!$C$90*D11+Assumptions!$D$159*Pools_Scenarios!$C$90*C11</f>
        <v>0</v>
      </c>
      <c r="F22" s="54">
        <f>Assumptions!$B$159*Assumptions!$B$160*F11+Pools_Scenarios!$C$86*Pools_Scenarios!$C$90*E11+Assumptions!$D$159*Pools_Scenarios!$C$90*D11+Assumptions!$E$159*Pools_Scenarios!$C$90*C11</f>
        <v>0</v>
      </c>
      <c r="G22" s="54">
        <f>Assumptions!$B$159*Assumptions!$B$160*G11+Pools_Scenarios!$C$86*Pools_Scenarios!$C$90*F11+Assumptions!$D$159*Pools_Scenarios!$C$90*E11+Assumptions!$E$159*Pools_Scenarios!$C$90*D11+Assumptions!$F$159*Pools_Scenarios!$C$90*C11</f>
        <v>0</v>
      </c>
    </row>
    <row r="23" spans="1:7" x14ac:dyDescent="0.3">
      <c r="A23" s="26" t="s">
        <v>805</v>
      </c>
      <c r="B23" s="85"/>
      <c r="C23" s="67">
        <f>C21+C22</f>
        <v>5808.8056486980095</v>
      </c>
      <c r="D23" s="67">
        <f>D21+D22</f>
        <v>14853.673503894013</v>
      </c>
      <c r="E23" s="67">
        <f>E21+E22</f>
        <v>23622.554825249979</v>
      </c>
      <c r="F23" s="67">
        <f>F21+F22</f>
        <v>31227.553313536038</v>
      </c>
      <c r="G23" s="67">
        <f>G21+G22</f>
        <v>26686.239167075801</v>
      </c>
    </row>
    <row r="24" spans="1:7" x14ac:dyDescent="0.3">
      <c r="A24" s="19" t="s">
        <v>806</v>
      </c>
      <c r="B24" s="85"/>
      <c r="C24" s="54">
        <f>Assumptions!$B$159*Assumptions!$B$160*C_Pools!C45</f>
        <v>2255000</v>
      </c>
      <c r="D24" s="54">
        <f>Assumptions!$B$159*Assumptions!$B$160*C_Pools!D45+Pools_Scenarios!$C$86*Pools_Scenarios!$C$90*C_Pools!C45</f>
        <v>3392000</v>
      </c>
      <c r="E24" s="54">
        <f>Assumptions!$B$159*Assumptions!$B$160*C_Pools!E45+Pools_Scenarios!$C$86*Pools_Scenarios!$C$90*C_Pools!D45+Assumptions!$D$159*Pools_Scenarios!$C$90*C_Pools!C45</f>
        <v>5630000</v>
      </c>
      <c r="F24" s="54">
        <f>Assumptions!$B$159*Assumptions!$B$160*C_Pools!F45+Pools_Scenarios!$C$86*Pools_Scenarios!$C$90*C_Pools!E45+Assumptions!$D$159*Pools_Scenarios!$C$90*C_Pools!D45+Assumptions!$E$159*Pools_Scenarios!$C$90*C_Pools!C45</f>
        <v>8398000</v>
      </c>
      <c r="G24" s="54">
        <f>Assumptions!$B$159*Assumptions!$B$160*C_Pools!G45+Pools_Scenarios!$C$86*Pools_Scenarios!$C$90*C_Pools!F45+Assumptions!$D$159*Pools_Scenarios!$C$90*C_Pools!E45+Assumptions!$E$159*Pools_Scenarios!$C$90*C_Pools!D45+Assumptions!$F$159*Pools_Scenarios!$C$90*C_Pools!C45</f>
        <v>10918000</v>
      </c>
    </row>
    <row r="25" spans="1:7" x14ac:dyDescent="0.3">
      <c r="A25" s="19" t="s">
        <v>807</v>
      </c>
      <c r="B25" s="85" t="s">
        <v>612</v>
      </c>
      <c r="C25" s="54">
        <f>Assumptions!$B$159*Assumptions!$B$160*C_Pools!C49</f>
        <v>4510</v>
      </c>
      <c r="D25" s="54">
        <f>Assumptions!$B$159*Assumptions!$B$160*C_Pools!D49+Pools_Scenarios!$C$86*Pools_Scenarios!$C$90*C_Pools!C49</f>
        <v>6784</v>
      </c>
      <c r="E25" s="54">
        <f>Assumptions!$B$159*Assumptions!$B$160*C_Pools!E49+Pools_Scenarios!$C$86*Pools_Scenarios!$C$90*C_Pools!D49+Assumptions!$D$159*Pools_Scenarios!$C$90*C_Pools!C49</f>
        <v>11260</v>
      </c>
      <c r="F25" s="54">
        <f>Assumptions!$B$159*Assumptions!$B$160*C_Pools!F49+Pools_Scenarios!$C$86*Pools_Scenarios!$C$90*C_Pools!E49+Assumptions!$D$159*Pools_Scenarios!$C$90*C_Pools!D49+Assumptions!$E$159*Pools_Scenarios!$C$90*C_Pools!C49</f>
        <v>16796</v>
      </c>
      <c r="G25" s="54">
        <f>Assumptions!$B$159*Assumptions!$B$160*C_Pools!G49+Pools_Scenarios!$C$86*Pools_Scenarios!$C$90*C_Pools!F49+Assumptions!$D$159*Pools_Scenarios!$C$90*C_Pools!E49+Assumptions!$E$159*Pools_Scenarios!$C$90*C_Pools!D49+Assumptions!$F$159*Pools_Scenarios!$C$90*C_Pools!C49</f>
        <v>21836</v>
      </c>
    </row>
    <row r="26" spans="1:7" x14ac:dyDescent="0.3">
      <c r="A26" s="19" t="s">
        <v>808</v>
      </c>
      <c r="B26" s="85"/>
      <c r="C26" s="54">
        <f>Assumptions!$B$159*Assumptions!$B$160*C_Pools!C50</f>
        <v>50465.897411141188</v>
      </c>
      <c r="D26" s="54">
        <f>Assumptions!$B$159*Assumptions!$B$160*C_Pools!D50+Pools_Scenarios!$C$86*Pools_Scenarios!$C$90*C_Pools!C50</f>
        <v>161160.24606802114</v>
      </c>
      <c r="E26" s="54">
        <f>Assumptions!$B$159*Assumptions!$B$160*C_Pools!E50+Pools_Scenarios!$C$86*Pools_Scenarios!$C$90*C_Pools!D50+Assumptions!$D$159*Pools_Scenarios!$C$90*C_Pools!C50</f>
        <v>315955.86719223851</v>
      </c>
      <c r="F26" s="54">
        <f>Assumptions!$B$159*Assumptions!$B$160*C_Pools!F50+Pools_Scenarios!$C$86*Pools_Scenarios!$C$90*C_Pools!E50+Assumptions!$D$159*Pools_Scenarios!$C$90*C_Pools!D50+Assumptions!$E$159*Pools_Scenarios!$C$90*C_Pools!C50</f>
        <v>543616.53821427817</v>
      </c>
      <c r="G26" s="54">
        <f>Assumptions!$B$159*Assumptions!$B$160*C_Pools!G50+Pools_Scenarios!$C$86*Pools_Scenarios!$C$90*C_Pools!F50+Assumptions!$D$159*Pools_Scenarios!$C$90*C_Pools!E50+Assumptions!$E$159*Pools_Scenarios!$C$90*C_Pools!D50+Assumptions!$F$159*Pools_Scenarios!$C$90*C_Pools!C50</f>
        <v>832379.64988466422</v>
      </c>
    </row>
    <row r="27" spans="1:7" x14ac:dyDescent="0.3">
      <c r="A27" s="19" t="s">
        <v>809</v>
      </c>
      <c r="B27" s="85"/>
      <c r="C27" s="54">
        <f>Assumptions!$B$159*Assumptions!$B$160*C_Pools!C51</f>
        <v>1453.2063930544593</v>
      </c>
      <c r="D27" s="54">
        <f>Assumptions!$B$159*Assumptions!$B$160*C_Pools!D51+Pools_Scenarios!$C$86*Pools_Scenarios!$C$90*C_Pools!C51</f>
        <v>4984.7059984214675</v>
      </c>
      <c r="E27" s="54">
        <f>Assumptions!$B$159*Assumptions!$B$160*C_Pools!E51+Pools_Scenarios!$C$86*Pools_Scenarios!$C$90*C_Pools!D51+Assumptions!$D$159*Pools_Scenarios!$C$90*C_Pools!C51</f>
        <v>10718.172849250197</v>
      </c>
      <c r="F27" s="54">
        <f>Assumptions!$B$159*Assumptions!$B$160*C_Pools!F51+Pools_Scenarios!$C$86*Pools_Scenarios!$C$90*C_Pools!E51+Assumptions!$D$159*Pools_Scenarios!$C$90*C_Pools!D51+Assumptions!$E$159*Pools_Scenarios!$C$90*C_Pools!C51</f>
        <v>19781.639700078929</v>
      </c>
      <c r="G27" s="54">
        <f>Assumptions!$B$159*Assumptions!$B$160*C_Pools!G51+Pools_Scenarios!$C$86*Pools_Scenarios!$C$90*C_Pools!F51+Assumptions!$D$159*Pools_Scenarios!$C$90*C_Pools!E51+Assumptions!$E$159*Pools_Scenarios!$C$90*C_Pools!D51+Assumptions!$F$159*Pools_Scenarios!$C$90*C_Pools!C51</f>
        <v>32228.182715074981</v>
      </c>
    </row>
    <row r="28" spans="1:7" x14ac:dyDescent="0.3">
      <c r="A28" s="16" t="s">
        <v>810</v>
      </c>
    </row>
    <row r="30" spans="1:7" x14ac:dyDescent="0.3">
      <c r="A30" s="69" t="s">
        <v>811</v>
      </c>
      <c r="B30" s="70"/>
      <c r="C30" s="70"/>
      <c r="D30" s="70"/>
      <c r="E30" s="70"/>
      <c r="F30" s="70"/>
      <c r="G30" s="70"/>
    </row>
    <row r="31" spans="1:7" ht="24" x14ac:dyDescent="0.3">
      <c r="A31" s="71" t="s">
        <v>812</v>
      </c>
      <c r="B31" s="85" t="s">
        <v>813</v>
      </c>
      <c r="C31" s="22">
        <f>C_Pools!C63*Assumptions!$B$78*Assumptions!$B$52*Pools_Scenarios!$C$87*(1-Assumptions!$B$79)</f>
        <v>1536.9750000000001</v>
      </c>
      <c r="D31" s="22">
        <f>C_Pools!D63*Assumptions!$B$78*Assumptions!$B$52*Pools_Scenarios!$C$87*(1-Assumptions!$B$79)</f>
        <v>4610.9250000000002</v>
      </c>
      <c r="E31" s="22">
        <f>C_Pools!E63*Assumptions!$B$78*Assumptions!$B$52*Pools_Scenarios!$C$87*(1-Assumptions!$B$79)</f>
        <v>8197.2000000000007</v>
      </c>
      <c r="F31" s="22">
        <f>C_Pools!F63*Assumptions!$B$78*Assumptions!$B$52*Pools_Scenarios!$C$87*(1-Assumptions!$B$79)</f>
        <v>12808.125000000002</v>
      </c>
      <c r="G31" s="22">
        <f>C_Pools!G63*Assumptions!$B$78*Assumptions!$B$52*Pools_Scenarios!$C$87*(1-Assumptions!$B$79)</f>
        <v>17931.375</v>
      </c>
    </row>
    <row r="32" spans="1:7" x14ac:dyDescent="0.3">
      <c r="A32" s="71" t="s">
        <v>814</v>
      </c>
      <c r="B32" s="85" t="s">
        <v>815</v>
      </c>
      <c r="C32" s="54">
        <f>Assumptions!$B$13*Assumptions!$B$158*Assumptions!$B$65</f>
        <v>52000</v>
      </c>
      <c r="D32" s="54">
        <f>Assumptions!$B$13*Assumptions!$C$158*Assumptions!$B$65</f>
        <v>104000</v>
      </c>
      <c r="E32" s="54">
        <f>Assumptions!$B$13*Assumptions!$D$158*Assumptions!$B$65</f>
        <v>104000</v>
      </c>
      <c r="F32" s="54">
        <f>Assumptions!$B$13*Assumptions!$E$158*Assumptions!$B$65</f>
        <v>104000</v>
      </c>
      <c r="G32" s="54">
        <f>Assumptions!$B$13*Assumptions!$F$158*Assumptions!$B$65</f>
        <v>104000</v>
      </c>
    </row>
    <row r="33" spans="1:7" x14ac:dyDescent="0.3">
      <c r="A33" s="71" t="s">
        <v>816</v>
      </c>
      <c r="B33" s="85" t="s">
        <v>817</v>
      </c>
      <c r="C33" s="54">
        <f>MAX(0,C32-C11)</f>
        <v>52000</v>
      </c>
      <c r="D33" s="54">
        <f>MAX(0,D32-D11)</f>
        <v>104000</v>
      </c>
      <c r="E33" s="54">
        <f>MAX(0,E32-E11)</f>
        <v>104000</v>
      </c>
      <c r="F33" s="54">
        <f>MAX(0,F32-F11)</f>
        <v>104000</v>
      </c>
      <c r="G33" s="54">
        <f>MAX(0,G32-G11)</f>
        <v>104000</v>
      </c>
    </row>
    <row r="34" spans="1:7" ht="24" x14ac:dyDescent="0.3">
      <c r="A34" s="71" t="s">
        <v>818</v>
      </c>
      <c r="B34" s="85" t="s">
        <v>819</v>
      </c>
      <c r="C34" s="22">
        <f>-C_Pools!C78</f>
        <v>-17047.800000000003</v>
      </c>
      <c r="D34" s="22">
        <f>-C_Pools!D78</f>
        <v>-52920.000000000015</v>
      </c>
      <c r="E34" s="22">
        <f>-C_Pools!E78</f>
        <v>-93139.200000000026</v>
      </c>
      <c r="F34" s="22">
        <f>-C_Pools!F78</f>
        <v>-140767.20000000001</v>
      </c>
      <c r="G34" s="22">
        <f>-C_Pools!G78</f>
        <v>-193233.60000000003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BFBF"/>
  </sheetPr>
  <dimension ref="A1:G46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20" customWidth="1"/>
    <col min="3" max="7" width="14" customWidth="1"/>
  </cols>
  <sheetData>
    <row r="1" spans="1:7" ht="17.399999999999999" x14ac:dyDescent="0.3">
      <c r="A1" s="13" t="s">
        <v>1113</v>
      </c>
    </row>
    <row r="2" spans="1:7" x14ac:dyDescent="0.3">
      <c r="A2" s="14" t="s">
        <v>821</v>
      </c>
    </row>
    <row r="4" spans="1:7" x14ac:dyDescent="0.3">
      <c r="A4" s="20" t="s">
        <v>822</v>
      </c>
      <c r="B4" s="21" t="s">
        <v>823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824</v>
      </c>
      <c r="B5" s="41"/>
      <c r="C5" s="41"/>
      <c r="D5" s="41"/>
      <c r="E5" s="41"/>
      <c r="F5" s="41"/>
      <c r="G5" s="41"/>
    </row>
    <row r="6" spans="1:7" x14ac:dyDescent="0.3">
      <c r="A6" s="19" t="s">
        <v>825</v>
      </c>
      <c r="B6" s="73" t="s">
        <v>826</v>
      </c>
      <c r="C6" s="22">
        <f>Assumptions!$B$60</f>
        <v>20000</v>
      </c>
      <c r="D6" s="22">
        <f>Assumptions!$B$61</f>
        <v>30000</v>
      </c>
      <c r="E6" s="22">
        <f>0</f>
        <v>0</v>
      </c>
      <c r="F6" s="22">
        <f>0</f>
        <v>0</v>
      </c>
      <c r="G6" s="22">
        <f>0</f>
        <v>0</v>
      </c>
    </row>
    <row r="7" spans="1:7" x14ac:dyDescent="0.3">
      <c r="A7" s="19" t="s">
        <v>827</v>
      </c>
      <c r="B7" s="73" t="s">
        <v>826</v>
      </c>
      <c r="C7" s="22">
        <f>0</f>
        <v>0</v>
      </c>
      <c r="D7" s="22">
        <f>Assumptions!$B$39</f>
        <v>72000</v>
      </c>
      <c r="E7" s="22">
        <f>Assumptions!$B$39</f>
        <v>72000</v>
      </c>
      <c r="F7" s="22">
        <f>Assumptions!$B$39</f>
        <v>72000</v>
      </c>
      <c r="G7" s="22">
        <f>Assumptions!$B$39</f>
        <v>72000</v>
      </c>
    </row>
    <row r="8" spans="1:7" x14ac:dyDescent="0.3">
      <c r="A8" s="26" t="s">
        <v>828</v>
      </c>
      <c r="B8" s="73"/>
      <c r="C8" s="67">
        <f>C6+C7</f>
        <v>20000</v>
      </c>
      <c r="D8" s="67">
        <f>D6+D7</f>
        <v>102000</v>
      </c>
      <c r="E8" s="67">
        <f>E6+E7</f>
        <v>72000</v>
      </c>
      <c r="F8" s="67">
        <f>F6+F7</f>
        <v>72000</v>
      </c>
      <c r="G8" s="67">
        <f>G6+G7</f>
        <v>72000</v>
      </c>
    </row>
    <row r="9" spans="1:7" x14ac:dyDescent="0.3">
      <c r="A9" s="19" t="s">
        <v>829</v>
      </c>
      <c r="B9" s="73" t="s">
        <v>830</v>
      </c>
      <c r="C9" s="22">
        <f>C_Pools!C45*Assumptions!$B$40*(1-Assumptions!$B$62)</f>
        <v>0</v>
      </c>
      <c r="D9" s="22">
        <f>C_Pools!D45*Assumptions!$B$40</f>
        <v>18675</v>
      </c>
      <c r="E9" s="22">
        <f>C_Pools!E45*Assumptions!$B$40</f>
        <v>21225</v>
      </c>
      <c r="F9" s="22">
        <f>C_Pools!F45*Assumptions!$B$40</f>
        <v>26025</v>
      </c>
      <c r="G9" s="22">
        <f>C_Pools!G45*Assumptions!$B$40</f>
        <v>26025</v>
      </c>
    </row>
    <row r="10" spans="1:7" x14ac:dyDescent="0.3">
      <c r="A10" s="19" t="s">
        <v>831</v>
      </c>
      <c r="B10" s="73" t="s">
        <v>830</v>
      </c>
      <c r="C10" s="22">
        <f>0</f>
        <v>0</v>
      </c>
      <c r="D10" s="22">
        <f>C_Pools!D46*Assumptions!$B$41</f>
        <v>16365.639192538454</v>
      </c>
      <c r="E10" s="22">
        <f>C_Pools!E46*Assumptions!$B$41</f>
        <v>26066.346902170146</v>
      </c>
      <c r="F10" s="22">
        <f>C_Pools!F46*Assumptions!$B$41</f>
        <v>35403.792461186604</v>
      </c>
      <c r="G10" s="22">
        <f>C_Pools!G46*Assumptions!$B$41</f>
        <v>43319.248898048063</v>
      </c>
    </row>
    <row r="11" spans="1:7" x14ac:dyDescent="0.3">
      <c r="A11" s="26" t="s">
        <v>832</v>
      </c>
      <c r="B11" s="73"/>
      <c r="C11" s="67">
        <f>C9+C10</f>
        <v>0</v>
      </c>
      <c r="D11" s="67">
        <f>D9+D10</f>
        <v>35040.639192538452</v>
      </c>
      <c r="E11" s="67">
        <f>E9+E10</f>
        <v>47291.346902170146</v>
      </c>
      <c r="F11" s="67">
        <f>F9+F10</f>
        <v>61428.792461186604</v>
      </c>
      <c r="G11" s="67">
        <f>G9+G10</f>
        <v>69344.24889804807</v>
      </c>
    </row>
    <row r="12" spans="1:7" x14ac:dyDescent="0.3">
      <c r="A12" s="19" t="s">
        <v>833</v>
      </c>
      <c r="B12" s="73" t="s">
        <v>834</v>
      </c>
      <c r="C12" s="22">
        <f>C_Pools!C48*Assumptions!$B$42</f>
        <v>1837.4664751136434</v>
      </c>
      <c r="D12" s="22">
        <f>C_Pools!D48*Assumptions!$B$42</f>
        <v>5765.0395281228866</v>
      </c>
      <c r="E12" s="22">
        <f>C_Pools!E48*Assumptions!$B$42</f>
        <v>10068.961303388056</v>
      </c>
      <c r="F12" s="22">
        <f>C_Pools!F48*Assumptions!$B$42</f>
        <v>14620.300317601157</v>
      </c>
      <c r="G12" s="22">
        <f>C_Pools!G48*Assumptions!$B$42</f>
        <v>19052.607848506264</v>
      </c>
    </row>
    <row r="13" spans="1:7" x14ac:dyDescent="0.3">
      <c r="A13" s="26" t="s">
        <v>835</v>
      </c>
      <c r="B13" s="73"/>
      <c r="C13" s="68">
        <f>C8+C11-C25</f>
        <v>0</v>
      </c>
      <c r="D13" s="68">
        <f>D8+D11-D25</f>
        <v>102780.47939440384</v>
      </c>
      <c r="E13" s="68">
        <f>E8+E11-E25</f>
        <v>89468.510176627606</v>
      </c>
      <c r="F13" s="68">
        <f>F8+F11-F25</f>
        <v>100071.59434588994</v>
      </c>
      <c r="G13" s="68">
        <f>G8+G11-G25</f>
        <v>106008.18667353605</v>
      </c>
    </row>
    <row r="15" spans="1:7" x14ac:dyDescent="0.3">
      <c r="A15" s="40" t="s">
        <v>836</v>
      </c>
      <c r="B15" s="41"/>
      <c r="C15" s="41"/>
      <c r="D15" s="41"/>
      <c r="E15" s="41"/>
      <c r="F15" s="41"/>
      <c r="G15" s="41"/>
    </row>
    <row r="16" spans="1:7" x14ac:dyDescent="0.3">
      <c r="A16" s="19" t="s">
        <v>837</v>
      </c>
      <c r="B16" s="73" t="s">
        <v>838</v>
      </c>
      <c r="C16" s="54">
        <f>Assumptions!$B$159*Assumptions!$B$160*C8</f>
        <v>20000</v>
      </c>
      <c r="D16" s="54">
        <f>Assumptions!$B$159*Assumptions!$B$160*D8+Pools_Scenarios!$C$86*Pools_Scenarios!$C$90*C8</f>
        <v>110000</v>
      </c>
      <c r="E16" s="54">
        <f>Assumptions!$B$159*Assumptions!$B$160*E8+Pools_Scenarios!$C$86*Pools_Scenarios!$C$90*D8+Assumptions!$D$159*Pools_Scenarios!$C$90*C8</f>
        <v>128800</v>
      </c>
      <c r="F16" s="54">
        <f>Assumptions!$B$159*Assumptions!$B$160*F8+Pools_Scenarios!$C$86*Pools_Scenarios!$C$90*E8+Assumptions!$D$159*Pools_Scenarios!$C$90*D8+Assumptions!$E$159*Pools_Scenarios!$C$90*C8</f>
        <v>198400</v>
      </c>
      <c r="G16" s="54">
        <f>Assumptions!$B$159*Assumptions!$B$160*G8+Pools_Scenarios!$C$86*Pools_Scenarios!$C$90*F8+Assumptions!$D$159*Pools_Scenarios!$C$90*E8+Assumptions!$E$159*Pools_Scenarios!$C$90*D8+Assumptions!$F$159*Pools_Scenarios!$C$90*C8</f>
        <v>256000</v>
      </c>
    </row>
    <row r="17" spans="1:7" x14ac:dyDescent="0.3">
      <c r="A17" s="19" t="s">
        <v>839</v>
      </c>
      <c r="B17" s="73" t="s">
        <v>838</v>
      </c>
      <c r="C17" s="54">
        <f>Assumptions!$B$159*Assumptions!$B$160*C11</f>
        <v>0</v>
      </c>
      <c r="D17" s="54">
        <f>Assumptions!$B$159*Assumptions!$B$160*D11+Pools_Scenarios!$C$86*Pools_Scenarios!$C$90*C11</f>
        <v>35040.639192538452</v>
      </c>
      <c r="E17" s="54">
        <f>Assumptions!$B$159*Assumptions!$B$160*E11+Pools_Scenarios!$C$86*Pools_Scenarios!$C$90*D11+Assumptions!$D$159*Pools_Scenarios!$C$90*C11</f>
        <v>61307.602579185528</v>
      </c>
      <c r="F17" s="54">
        <f>Assumptions!$B$159*Assumptions!$B$160*F11+Pools_Scenarios!$C$86*Pools_Scenarios!$C$90*E11+Assumptions!$D$159*Pools_Scenarios!$C$90*D11+Assumptions!$E$159*Pools_Scenarios!$C$90*C11</f>
        <v>108377.84257608543</v>
      </c>
      <c r="G17" s="54">
        <f>Assumptions!$B$159*Assumptions!$B$160*G11+Pools_Scenarios!$C$86*Pools_Scenarios!$C$90*F11+Assumptions!$D$159*Pools_Scenarios!$C$90*E11+Assumptions!$E$159*Pools_Scenarios!$C$90*D11+Assumptions!$F$159*Pools_Scenarios!$C$90*C11</f>
        <v>159781.35475828958</v>
      </c>
    </row>
    <row r="18" spans="1:7" x14ac:dyDescent="0.3">
      <c r="A18" s="26" t="s">
        <v>840</v>
      </c>
      <c r="B18" s="73"/>
      <c r="C18" s="68">
        <f>C16+C17-C37</f>
        <v>0</v>
      </c>
      <c r="D18" s="68">
        <f>D16+D17-D37</f>
        <v>102780.47939440384</v>
      </c>
      <c r="E18" s="68">
        <f>E16+E17-E37</f>
        <v>130580.70193438916</v>
      </c>
      <c r="F18" s="68">
        <f>F16+F17-F37</f>
        <v>218083.38193206408</v>
      </c>
      <c r="G18" s="68">
        <f>G16+G17-G37</f>
        <v>299836.01606871717</v>
      </c>
    </row>
    <row r="19" spans="1:7" x14ac:dyDescent="0.3">
      <c r="A19" s="19" t="s">
        <v>841</v>
      </c>
      <c r="B19" s="73" t="s">
        <v>834</v>
      </c>
      <c r="C19" s="54">
        <f>Assumptions!$B$159*Assumptions!$B$160*C12</f>
        <v>1837.4664751136434</v>
      </c>
      <c r="D19" s="54">
        <f>Assumptions!$B$159*Assumptions!$B$160*D12+Pools_Scenarios!$C$86*Pools_Scenarios!$C$90*C12</f>
        <v>6500.0261181683436</v>
      </c>
      <c r="E19" s="54">
        <f>Assumptions!$B$159*Assumptions!$B$160*E12+Pools_Scenarios!$C$86*Pools_Scenarios!$C$90*D12+Assumptions!$D$159*Pools_Scenarios!$C$90*C12</f>
        <v>13844.950294728125</v>
      </c>
      <c r="F19" s="54">
        <f>Assumptions!$B$159*Assumptions!$B$160*F12+Pools_Scenarios!$C$86*Pools_Scenarios!$C$90*E12+Assumptions!$D$159*Pools_Scenarios!$C$90*D12+Assumptions!$E$159*Pools_Scenarios!$C$90*C12</f>
        <v>24729.889641545604</v>
      </c>
      <c r="G19" s="54">
        <f>Assumptions!$B$159*Assumptions!$B$160*G12+Pools_Scenarios!$C$86*Pools_Scenarios!$C$90*F12+Assumptions!$D$159*Pools_Scenarios!$C$90*E12+Assumptions!$E$159*Pools_Scenarios!$C$90*D12+Assumptions!$F$159*Pools_Scenarios!$C$90*C12</f>
        <v>39037.901820846397</v>
      </c>
    </row>
    <row r="20" spans="1:7" x14ac:dyDescent="0.3">
      <c r="A20" s="26" t="s">
        <v>842</v>
      </c>
      <c r="B20" s="73"/>
      <c r="C20" s="67">
        <f>C18+C19+C38+C39+C40+C46</f>
        <v>18411.716475113644</v>
      </c>
      <c r="D20" s="67">
        <f>D18+D19+D38+D39+D40+D46</f>
        <v>156137.9555125722</v>
      </c>
      <c r="E20" s="67">
        <f>E18+E19+E38+E39+E40+E46</f>
        <v>223852.15222911729</v>
      </c>
      <c r="F20" s="67">
        <f>F18+F19+F38+F39+F40+F46</f>
        <v>359589.02157360967</v>
      </c>
      <c r="G20" s="67">
        <f>G18+G19+G38+G39+G40+G46</f>
        <v>490119.06788956362</v>
      </c>
    </row>
    <row r="23" spans="1:7" x14ac:dyDescent="0.3">
      <c r="A23" s="69" t="s">
        <v>843</v>
      </c>
      <c r="B23" s="70"/>
      <c r="C23" s="70"/>
      <c r="D23" s="70"/>
      <c r="E23" s="70"/>
      <c r="F23" s="70"/>
      <c r="G23" s="70"/>
    </row>
    <row r="24" spans="1:7" x14ac:dyDescent="0.3">
      <c r="A24" s="71" t="s">
        <v>844</v>
      </c>
      <c r="B24" s="73"/>
      <c r="C24" s="51">
        <f>Assumptions!$B$67</f>
        <v>1</v>
      </c>
      <c r="D24" s="51">
        <f>Assumptions!$B$68</f>
        <v>0.25</v>
      </c>
      <c r="E24" s="51">
        <f>Assumptions!$B$68</f>
        <v>0.25</v>
      </c>
      <c r="F24" s="51">
        <f>Assumptions!$B$68</f>
        <v>0.25</v>
      </c>
      <c r="G24" s="51">
        <f>Assumptions!$B$68</f>
        <v>0.25</v>
      </c>
    </row>
    <row r="25" spans="1:7" x14ac:dyDescent="0.3">
      <c r="A25" s="71" t="s">
        <v>845</v>
      </c>
      <c r="B25" s="73" t="s">
        <v>846</v>
      </c>
      <c r="C25" s="54">
        <f>MIN(Assumptions!$B$66*C_Benefits!C33,C24*(C8+C11))</f>
        <v>20000</v>
      </c>
      <c r="D25" s="54">
        <f>MIN(Assumptions!$B$66*C_Benefits!D33,D24*(D8+D11))</f>
        <v>34260.159798134613</v>
      </c>
      <c r="E25" s="54">
        <f>MIN(Assumptions!$B$66*C_Benefits!E33,E24*(E8+E11))</f>
        <v>29822.836725542536</v>
      </c>
      <c r="F25" s="54">
        <f>MIN(Assumptions!$B$66*C_Benefits!F33,F24*(F8+F11))</f>
        <v>33357.198115296647</v>
      </c>
      <c r="G25" s="54">
        <f>MIN(Assumptions!$B$66*C_Benefits!G33,G24*(G8+G11))</f>
        <v>35336.062224512018</v>
      </c>
    </row>
    <row r="26" spans="1:7" x14ac:dyDescent="0.3">
      <c r="A26" s="71" t="s">
        <v>847</v>
      </c>
      <c r="B26" s="73" t="s">
        <v>846</v>
      </c>
      <c r="C26" s="54">
        <f>MIN(Assumptions!$B$66*Pools_Scenarios!$C$90*C_Benefits!C33,C24*Pools_Scenarios!$C$90*(C8+C11))</f>
        <v>8000</v>
      </c>
      <c r="D26" s="54">
        <f>MIN(Assumptions!$B$66*Pools_Scenarios!$C$90*C_Benefits!D33,D24*Pools_Scenarios!$C$90*(D8+D11))</f>
        <v>13704.063919253846</v>
      </c>
      <c r="E26" s="54">
        <f>MIN(Assumptions!$B$66*Pools_Scenarios!$C$90*C_Benefits!E33,E24*Pools_Scenarios!$C$90*(E8+E11))</f>
        <v>11929.134690217015</v>
      </c>
      <c r="F26" s="54">
        <f>MIN(Assumptions!$B$66*Pools_Scenarios!$C$90*C_Benefits!F33,F24*Pools_Scenarios!$C$90*(F8+F11))</f>
        <v>13342.87924611866</v>
      </c>
      <c r="G26" s="54">
        <f>MIN(Assumptions!$B$66*Pools_Scenarios!$C$90*C_Benefits!G33,G24*Pools_Scenarios!$C$90*(G8+G11))</f>
        <v>14134.424889804808</v>
      </c>
    </row>
    <row r="27" spans="1:7" x14ac:dyDescent="0.3">
      <c r="A27" s="71" t="s">
        <v>848</v>
      </c>
      <c r="B27" s="73" t="s">
        <v>834</v>
      </c>
      <c r="C27" s="54">
        <f>Assumptions!$B$80*Assumptions!$B$81*12*C_Pools!C9</f>
        <v>12000</v>
      </c>
      <c r="D27" s="54">
        <f>Assumptions!$B$80*Assumptions!$B$81*12*C_Pools!D9</f>
        <v>24000</v>
      </c>
      <c r="E27" s="54">
        <f>Assumptions!$B$80*Assumptions!$B$81*12*C_Pools!E9</f>
        <v>24000</v>
      </c>
      <c r="F27" s="54">
        <f>Assumptions!$B$80*Assumptions!$B$81*12*C_Pools!F9</f>
        <v>24000</v>
      </c>
      <c r="G27" s="54">
        <f>Assumptions!$B$80*Assumptions!$B$81*12*C_Pools!G9</f>
        <v>24000</v>
      </c>
    </row>
    <row r="28" spans="1:7" x14ac:dyDescent="0.3">
      <c r="A28" s="71" t="s">
        <v>849</v>
      </c>
      <c r="B28" s="73" t="s">
        <v>850</v>
      </c>
      <c r="C28" s="54">
        <f>C_Pools!C28*Assumptions!$B$82*12</f>
        <v>4500</v>
      </c>
      <c r="D28" s="54">
        <f>C_Pools!D28*Assumptions!$B$82*12</f>
        <v>16500</v>
      </c>
      <c r="E28" s="54">
        <f>C_Pools!E28*Assumptions!$B$82*12</f>
        <v>27000</v>
      </c>
      <c r="F28" s="54">
        <f>C_Pools!F28*Assumptions!$B$82*12</f>
        <v>28500</v>
      </c>
      <c r="G28" s="54">
        <f>C_Pools!G28*Assumptions!$B$82*12</f>
        <v>22500</v>
      </c>
    </row>
    <row r="29" spans="1:7" x14ac:dyDescent="0.3">
      <c r="A29" s="71" t="s">
        <v>851</v>
      </c>
      <c r="B29" s="73" t="s">
        <v>852</v>
      </c>
      <c r="C29" s="54">
        <f>C_Pools!C63*Assumptions!$B$78*Assumptions!$B$52*Assumptions!$B$79</f>
        <v>569.25000000000011</v>
      </c>
      <c r="D29" s="54">
        <f>C_Pools!D63*Assumptions!$B$78*Assumptions!$B$52*Assumptions!$B$79</f>
        <v>1707.75</v>
      </c>
      <c r="E29" s="54">
        <f>C_Pools!E63*Assumptions!$B$78*Assumptions!$B$52*Assumptions!$B$79</f>
        <v>3036.0000000000005</v>
      </c>
      <c r="F29" s="54">
        <f>C_Pools!F63*Assumptions!$B$78*Assumptions!$B$52*Assumptions!$B$79</f>
        <v>4743.7500000000009</v>
      </c>
      <c r="G29" s="54">
        <f>C_Pools!G63*Assumptions!$B$78*Assumptions!$B$52*Assumptions!$B$79</f>
        <v>6641.25</v>
      </c>
    </row>
    <row r="31" spans="1:7" x14ac:dyDescent="0.3">
      <c r="A31" s="69" t="s">
        <v>836</v>
      </c>
      <c r="B31" s="70"/>
      <c r="C31" s="70"/>
      <c r="D31" s="70"/>
      <c r="E31" s="70"/>
      <c r="F31" s="70"/>
      <c r="G31" s="70"/>
    </row>
    <row r="32" spans="1:7" x14ac:dyDescent="0.3">
      <c r="A32" s="71" t="s">
        <v>853</v>
      </c>
      <c r="B32" s="73" t="s">
        <v>854</v>
      </c>
      <c r="C32" s="54">
        <f>Assumptions!$B$159*MIN(Assumptions!$B$66*Assumptions!$B$160*C_Benefits!C33,C24*Assumptions!$B$160*(C8+C11))</f>
        <v>20000</v>
      </c>
      <c r="D32" s="54">
        <f>Assumptions!$B$159*MIN(Assumptions!$B$66*Assumptions!$B$160*C_Benefits!D33,D24*Assumptions!$B$160*(D8+D11))</f>
        <v>34260.159798134613</v>
      </c>
      <c r="E32" s="54">
        <f>Assumptions!$B$159*MIN(Assumptions!$B$66*Assumptions!$B$160*C_Benefits!E33,E24*Assumptions!$B$160*(E8+E11))</f>
        <v>29822.836725542536</v>
      </c>
      <c r="F32" s="54">
        <f>Assumptions!$B$159*MIN(Assumptions!$B$66*Assumptions!$B$160*C_Benefits!F33,F24*Assumptions!$B$160*(F8+F11))</f>
        <v>33357.198115296647</v>
      </c>
      <c r="G32" s="54">
        <f>Assumptions!$B$159*MIN(Assumptions!$B$66*Assumptions!$B$160*C_Benefits!G33,G24*Assumptions!$B$160*(G8+G11))</f>
        <v>35336.062224512018</v>
      </c>
    </row>
    <row r="33" spans="1:7" x14ac:dyDescent="0.3">
      <c r="A33" s="71" t="s">
        <v>855</v>
      </c>
      <c r="B33" s="73" t="s">
        <v>854</v>
      </c>
      <c r="C33" s="54">
        <f>0</f>
        <v>0</v>
      </c>
      <c r="D33" s="54">
        <f>Pools_Scenarios!$C$86*MIN(Assumptions!$B$66*Pools_Scenarios!$C$90*C_Benefits!C33,C24*Pools_Scenarios!$C$90*(C8+C11))</f>
        <v>8000</v>
      </c>
      <c r="E33" s="54">
        <f>Pools_Scenarios!$C$86*MIN(Assumptions!$B$66*Pools_Scenarios!$C$90*C_Benefits!D33,D24*Pools_Scenarios!$C$90*(D8+D11))</f>
        <v>13704.063919253846</v>
      </c>
      <c r="F33" s="54">
        <f>Pools_Scenarios!$C$86*MIN(Assumptions!$B$66*Pools_Scenarios!$C$90*C_Benefits!E33,E24*Pools_Scenarios!$C$90*(E8+E11))</f>
        <v>11929.134690217015</v>
      </c>
      <c r="G33" s="54">
        <f>Pools_Scenarios!$C$86*MIN(Assumptions!$B$66*Pools_Scenarios!$C$90*C_Benefits!F33,F24*Pools_Scenarios!$C$90*(F8+F11))</f>
        <v>13342.87924611866</v>
      </c>
    </row>
    <row r="34" spans="1:7" x14ac:dyDescent="0.3">
      <c r="A34" s="71" t="s">
        <v>856</v>
      </c>
      <c r="B34" s="73" t="s">
        <v>854</v>
      </c>
      <c r="C34" s="54">
        <f>0</f>
        <v>0</v>
      </c>
      <c r="D34" s="54">
        <f>0</f>
        <v>0</v>
      </c>
      <c r="E34" s="54">
        <f>Assumptions!$D$159*MIN(Assumptions!$B$66*Pools_Scenarios!$C$90*C_Benefits!C33,C24*Pools_Scenarios!$C$90*(C8+C11))</f>
        <v>16000</v>
      </c>
      <c r="F34" s="54">
        <f>Assumptions!$D$159*MIN(Assumptions!$B$66*Pools_Scenarios!$C$90*C_Benefits!D33,D24*Pools_Scenarios!$C$90*(D8+D11))</f>
        <v>27408.127838507691</v>
      </c>
      <c r="G34" s="54">
        <f>Assumptions!$D$159*MIN(Assumptions!$B$66*Pools_Scenarios!$C$90*C_Benefits!E33,E24*Pools_Scenarios!$C$90*(E8+E11))</f>
        <v>23858.269380434031</v>
      </c>
    </row>
    <row r="35" spans="1:7" x14ac:dyDescent="0.3">
      <c r="A35" s="71" t="s">
        <v>857</v>
      </c>
      <c r="B35" s="73" t="s">
        <v>854</v>
      </c>
      <c r="C35" s="54">
        <f>0</f>
        <v>0</v>
      </c>
      <c r="D35" s="54">
        <f>0</f>
        <v>0</v>
      </c>
      <c r="E35" s="54">
        <f>0</f>
        <v>0</v>
      </c>
      <c r="F35" s="54">
        <f>Assumptions!$E$159*MIN(Assumptions!$B$66*Pools_Scenarios!$C$90*C_Benefits!C33,C24*Pools_Scenarios!$C$90*(C8+C11))</f>
        <v>16000</v>
      </c>
      <c r="G35" s="54">
        <f>Assumptions!$E$159*MIN(Assumptions!$B$66*Pools_Scenarios!$C$90*C_Benefits!D33,D24*Pools_Scenarios!$C$90*(D8+D11))</f>
        <v>27408.127838507691</v>
      </c>
    </row>
    <row r="36" spans="1:7" x14ac:dyDescent="0.3">
      <c r="A36" s="71" t="s">
        <v>858</v>
      </c>
      <c r="B36" s="73" t="s">
        <v>854</v>
      </c>
      <c r="C36" s="54">
        <f>0</f>
        <v>0</v>
      </c>
      <c r="D36" s="54">
        <f>0</f>
        <v>0</v>
      </c>
      <c r="E36" s="54">
        <f>0</f>
        <v>0</v>
      </c>
      <c r="F36" s="54">
        <f>0</f>
        <v>0</v>
      </c>
      <c r="G36" s="54">
        <f>Assumptions!$F$159*MIN(Assumptions!$B$66*Pools_Scenarios!$C$90*C_Benefits!C33,C24*Pools_Scenarios!$C$90*(C8+C11))</f>
        <v>16000</v>
      </c>
    </row>
    <row r="37" spans="1:7" x14ac:dyDescent="0.3">
      <c r="A37" s="69" t="s">
        <v>859</v>
      </c>
      <c r="B37" s="73" t="s">
        <v>854</v>
      </c>
      <c r="C37" s="68">
        <f>SUM(C32:C36)</f>
        <v>20000</v>
      </c>
      <c r="D37" s="68">
        <f>SUM(D32:D36)</f>
        <v>42260.159798134613</v>
      </c>
      <c r="E37" s="68">
        <f>SUM(E32:E36)</f>
        <v>59526.900644796384</v>
      </c>
      <c r="F37" s="68">
        <f>SUM(F32:F36)</f>
        <v>88694.460644021354</v>
      </c>
      <c r="G37" s="68">
        <f>SUM(G32:G36)</f>
        <v>115945.3386895724</v>
      </c>
    </row>
    <row r="38" spans="1:7" x14ac:dyDescent="0.3">
      <c r="A38" s="71" t="s">
        <v>860</v>
      </c>
      <c r="B38" s="73" t="s">
        <v>834</v>
      </c>
      <c r="C38" s="54">
        <f>Assumptions!$B$159*Assumptions!$B$160*C27</f>
        <v>12000</v>
      </c>
      <c r="D38" s="54">
        <f>Assumptions!$B$159*Assumptions!$B$160*D27+Pools_Scenarios!$C$86*Pools_Scenarios!$C$90*C27</f>
        <v>28800</v>
      </c>
      <c r="E38" s="54">
        <f>Assumptions!$B$159*Assumptions!$B$160*E27+Pools_Scenarios!$C$86*Pools_Scenarios!$C$90*D27+Assumptions!$D$159*Pools_Scenarios!$C$90*C27</f>
        <v>43200</v>
      </c>
      <c r="F38" s="54">
        <f>Assumptions!$B$159*Assumptions!$B$160*F27+Pools_Scenarios!$C$86*Pools_Scenarios!$C$90*E27+Assumptions!$D$159*Pools_Scenarios!$C$90*D27+Assumptions!$E$159*Pools_Scenarios!$C$90*C27</f>
        <v>62400</v>
      </c>
      <c r="G38" s="54">
        <f>Assumptions!$B$159*Assumptions!$B$160*G27+Pools_Scenarios!$C$86*Pools_Scenarios!$C$90*F27+Assumptions!$D$159*Pools_Scenarios!$C$90*E27+Assumptions!$E$159*Pools_Scenarios!$C$90*D27+Assumptions!$F$159*Pools_Scenarios!$C$90*C27</f>
        <v>81600</v>
      </c>
    </row>
    <row r="39" spans="1:7" x14ac:dyDescent="0.3">
      <c r="A39" s="71" t="s">
        <v>861</v>
      </c>
      <c r="B39" s="73" t="s">
        <v>850</v>
      </c>
      <c r="C39" s="54">
        <f>Assumptions!$B$159*Assumptions!$B$160*C28</f>
        <v>4500</v>
      </c>
      <c r="D39" s="54">
        <f>Assumptions!$B$159*Assumptions!$B$160*D28+Pools_Scenarios!$C$86*Pools_Scenarios!$C$90*C28</f>
        <v>18300</v>
      </c>
      <c r="E39" s="54">
        <f>Assumptions!$B$159*Assumptions!$B$160*E28+Pools_Scenarios!$C$86*Pools_Scenarios!$C$90*D28+Assumptions!$D$159*Pools_Scenarios!$C$90*C28</f>
        <v>37200</v>
      </c>
      <c r="F39" s="54">
        <f>Assumptions!$B$159*Assumptions!$B$160*F28+Pools_Scenarios!$C$86*Pools_Scenarios!$C$90*E28+Assumptions!$D$159*Pools_Scenarios!$C$90*D28+Assumptions!$E$159*Pools_Scenarios!$C$90*C28</f>
        <v>56100</v>
      </c>
      <c r="G39" s="54">
        <f>Assumptions!$B$159*Assumptions!$B$160*G28+Pools_Scenarios!$C$86*Pools_Scenarios!$C$90*F28+Assumptions!$D$159*Pools_Scenarios!$C$90*E28+Assumptions!$E$159*Pools_Scenarios!$C$90*D28+Assumptions!$F$159*Pools_Scenarios!$C$90*C28</f>
        <v>72300</v>
      </c>
    </row>
    <row r="40" spans="1:7" x14ac:dyDescent="0.3">
      <c r="A40" s="71" t="s">
        <v>862</v>
      </c>
      <c r="B40" s="73" t="s">
        <v>852</v>
      </c>
      <c r="C40" s="54">
        <f>Assumptions!$B$159*Assumptions!$B$160*C29</f>
        <v>569.25000000000011</v>
      </c>
      <c r="D40" s="54">
        <f>Assumptions!$B$159*Assumptions!$B$160*D29+Pools_Scenarios!$C$86*Pools_Scenarios!$C$90*C29</f>
        <v>1935.45</v>
      </c>
      <c r="E40" s="54">
        <f>Assumptions!$B$159*Assumptions!$B$160*E29+Pools_Scenarios!$C$86*Pools_Scenarios!$C$90*D29+Assumptions!$D$159*Pools_Scenarios!$C$90*C29</f>
        <v>4174.5</v>
      </c>
      <c r="F40" s="54">
        <f>Assumptions!$B$159*Assumptions!$B$160*F29+Pools_Scenarios!$C$86*Pools_Scenarios!$C$90*E29+Assumptions!$D$159*Pools_Scenarios!$C$90*D29+Assumptions!$E$159*Pools_Scenarios!$C$90*C29</f>
        <v>7779.7500000000018</v>
      </c>
      <c r="G40" s="54">
        <f>Assumptions!$B$159*Assumptions!$B$160*G29+Pools_Scenarios!$C$86*Pools_Scenarios!$C$90*F29+Assumptions!$D$159*Pools_Scenarios!$C$90*E29+Assumptions!$E$159*Pools_Scenarios!$C$90*D29+Assumptions!$F$159*Pools_Scenarios!$C$90*C29</f>
        <v>12789.150000000001</v>
      </c>
    </row>
    <row r="42" spans="1:7" x14ac:dyDescent="0.3">
      <c r="A42" s="69" t="s">
        <v>863</v>
      </c>
      <c r="B42" s="70"/>
      <c r="C42" s="70"/>
      <c r="D42" s="70"/>
      <c r="E42" s="70"/>
      <c r="F42" s="70"/>
      <c r="G42" s="70"/>
    </row>
    <row r="43" spans="1:7" x14ac:dyDescent="0.3">
      <c r="A43" s="71" t="s">
        <v>864</v>
      </c>
      <c r="B43" s="73" t="s">
        <v>865</v>
      </c>
      <c r="C43" s="54">
        <f>C_Pools!C72</f>
        <v>0</v>
      </c>
      <c r="D43" s="54">
        <f>C_Pools!D72</f>
        <v>0</v>
      </c>
      <c r="E43" s="54">
        <f>C_Pools!E72</f>
        <v>0</v>
      </c>
      <c r="F43" s="54">
        <f>C_Pools!F72</f>
        <v>0</v>
      </c>
      <c r="G43" s="54">
        <f>C_Pools!G72</f>
        <v>0</v>
      </c>
    </row>
    <row r="44" spans="1:7" x14ac:dyDescent="0.3">
      <c r="A44" s="71" t="s">
        <v>866</v>
      </c>
      <c r="B44" s="73" t="s">
        <v>867</v>
      </c>
      <c r="C44" s="54">
        <f>-C_Pools!C73</f>
        <v>-495</v>
      </c>
      <c r="D44" s="54">
        <f>-C_Pools!D73</f>
        <v>-1980</v>
      </c>
      <c r="E44" s="54">
        <f>-C_Pools!E73</f>
        <v>-3960</v>
      </c>
      <c r="F44" s="54">
        <f>-C_Pools!F73</f>
        <v>-5940</v>
      </c>
      <c r="G44" s="54">
        <f>-C_Pools!G73</f>
        <v>-7920</v>
      </c>
    </row>
    <row r="45" spans="1:7" x14ac:dyDescent="0.3">
      <c r="A45" s="69" t="s">
        <v>868</v>
      </c>
      <c r="B45" s="73"/>
      <c r="C45" s="68">
        <f>C43+C44</f>
        <v>-495</v>
      </c>
      <c r="D45" s="68">
        <f>D43+D44</f>
        <v>-1980</v>
      </c>
      <c r="E45" s="68">
        <f>E43+E44</f>
        <v>-3960</v>
      </c>
      <c r="F45" s="68">
        <f>F43+F44</f>
        <v>-5940</v>
      </c>
      <c r="G45" s="68">
        <f>G43+G44</f>
        <v>-7920</v>
      </c>
    </row>
    <row r="46" spans="1:7" x14ac:dyDescent="0.3">
      <c r="A46" s="69" t="s">
        <v>869</v>
      </c>
      <c r="B46" s="73"/>
      <c r="C46" s="68">
        <f>Assumptions!$B$159*Assumptions!$B$160*C45</f>
        <v>-495</v>
      </c>
      <c r="D46" s="68">
        <f>Assumptions!$B$159*Assumptions!$B$160*D45+Pools_Scenarios!$C$86*Pools_Scenarios!$C$90*C45</f>
        <v>-2178</v>
      </c>
      <c r="E46" s="68">
        <f>Assumptions!$B$159*Assumptions!$B$160*E45+Pools_Scenarios!$C$86*Pools_Scenarios!$C$90*D45+Assumptions!$D$159*Pools_Scenarios!$C$90*C45</f>
        <v>-5148</v>
      </c>
      <c r="F46" s="68">
        <f>Assumptions!$B$159*Assumptions!$B$160*F45+Pools_Scenarios!$C$86*Pools_Scenarios!$C$90*E45+Assumptions!$D$159*Pools_Scenarios!$C$90*D45+Assumptions!$E$159*Pools_Scenarios!$C$90*C45</f>
        <v>-9504</v>
      </c>
      <c r="G46" s="68">
        <f>Assumptions!$B$159*Assumptions!$B$160*G45+Pools_Scenarios!$C$86*Pools_Scenarios!$C$90*F45+Assumptions!$D$159*Pools_Scenarios!$C$90*E45+Assumptions!$E$159*Pools_Scenarios!$C$90*D45+Assumptions!$F$159*Pools_Scenarios!$C$90*C45</f>
        <v>-15444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FBFBF"/>
  </sheetPr>
  <dimension ref="A1:G29"/>
  <sheetViews>
    <sheetView zoomScaleNormal="100" workbookViewId="0"/>
  </sheetViews>
  <sheetFormatPr defaultColWidth="8.6640625" defaultRowHeight="14.4" x14ac:dyDescent="0.3"/>
  <cols>
    <col min="1" max="1" width="66" customWidth="1"/>
    <col min="2" max="2" width="2" customWidth="1"/>
    <col min="3" max="7" width="14" customWidth="1"/>
  </cols>
  <sheetData>
    <row r="1" spans="1:7" ht="17.399999999999999" x14ac:dyDescent="0.3">
      <c r="A1" s="13" t="s">
        <v>1114</v>
      </c>
    </row>
    <row r="2" spans="1:7" x14ac:dyDescent="0.3">
      <c r="A2" s="14" t="s">
        <v>870</v>
      </c>
    </row>
    <row r="4" spans="1:7" x14ac:dyDescent="0.3">
      <c r="A4" s="20" t="s">
        <v>564</v>
      </c>
      <c r="B4" s="21"/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871</v>
      </c>
      <c r="B5" s="41"/>
      <c r="C5" s="41"/>
      <c r="D5" s="41"/>
      <c r="E5" s="41"/>
      <c r="F5" s="41"/>
      <c r="G5" s="41"/>
    </row>
    <row r="6" spans="1:7" x14ac:dyDescent="0.3">
      <c r="A6" s="19" t="s">
        <v>872</v>
      </c>
      <c r="C6" s="22">
        <f>C_Benefits!C12</f>
        <v>5808.8056486980095</v>
      </c>
      <c r="D6" s="22">
        <f>C_Benefits!D12</f>
        <v>12530.15124441481</v>
      </c>
      <c r="E6" s="22">
        <f>C_Benefits!E12</f>
        <v>13963.449808525649</v>
      </c>
      <c r="F6" s="22">
        <f>C_Benefits!F12</f>
        <v>10971.007875635521</v>
      </c>
      <c r="G6" s="22">
        <f>C_Benefits!G12</f>
        <v>-3544.0893444891844</v>
      </c>
    </row>
    <row r="7" spans="1:7" x14ac:dyDescent="0.3">
      <c r="A7" s="19" t="s">
        <v>873</v>
      </c>
      <c r="C7" s="22">
        <f>C_Pricing_Income!C13</f>
        <v>0</v>
      </c>
      <c r="D7" s="22">
        <f>C_Pricing_Income!D13</f>
        <v>102780.47939440384</v>
      </c>
      <c r="E7" s="22">
        <f>C_Pricing_Income!E13</f>
        <v>89468.510176627606</v>
      </c>
      <c r="F7" s="22">
        <f>C_Pricing_Income!F13</f>
        <v>100071.59434588994</v>
      </c>
      <c r="G7" s="22">
        <f>C_Pricing_Income!G13</f>
        <v>106008.18667353605</v>
      </c>
    </row>
    <row r="8" spans="1:7" x14ac:dyDescent="0.3">
      <c r="A8" s="26" t="s">
        <v>874</v>
      </c>
      <c r="C8" s="67">
        <f>C6-C7</f>
        <v>5808.8056486980095</v>
      </c>
      <c r="D8" s="67">
        <f>D6-D7</f>
        <v>-90250.328149989029</v>
      </c>
      <c r="E8" s="67">
        <f>E6-E7</f>
        <v>-75505.060368101957</v>
      </c>
      <c r="F8" s="67">
        <f>F6-F7</f>
        <v>-89100.58647025442</v>
      </c>
      <c r="G8" s="67">
        <f>G6-G7</f>
        <v>-109552.27601802524</v>
      </c>
    </row>
    <row r="9" spans="1:7" x14ac:dyDescent="0.3">
      <c r="A9" s="26" t="s">
        <v>875</v>
      </c>
      <c r="C9" s="68">
        <f>C8</f>
        <v>5808.8056486980095</v>
      </c>
      <c r="D9" s="68">
        <f>C9+D8</f>
        <v>-84441.522501291023</v>
      </c>
      <c r="E9" s="68">
        <f>D9+E8</f>
        <v>-159946.58286939299</v>
      </c>
      <c r="F9" s="68">
        <f>E9+F8</f>
        <v>-249047.1693396474</v>
      </c>
      <c r="G9" s="68">
        <f>F9+G8</f>
        <v>-358599.44535767264</v>
      </c>
    </row>
    <row r="10" spans="1:7" x14ac:dyDescent="0.3">
      <c r="A10" s="19" t="s">
        <v>876</v>
      </c>
      <c r="C10" s="54">
        <f>C_Benefits!C10-C7</f>
        <v>5808.8056486980095</v>
      </c>
      <c r="D10" s="54">
        <f>C_Benefits!D10-D7</f>
        <v>-90250.328149989029</v>
      </c>
      <c r="E10" s="54">
        <f>C_Benefits!E10-E7</f>
        <v>-75505.060368101957</v>
      </c>
      <c r="F10" s="54">
        <f>C_Benefits!F10-F7</f>
        <v>-89100.58647025442</v>
      </c>
      <c r="G10" s="54">
        <f>C_Benefits!G10-G7</f>
        <v>-109552.27601802524</v>
      </c>
    </row>
    <row r="11" spans="1:7" x14ac:dyDescent="0.3">
      <c r="A11" s="19" t="s">
        <v>877</v>
      </c>
      <c r="C11" s="86" t="str">
        <f>IF(C7&lt;=0,"n/a",C6/C7)</f>
        <v>n/a</v>
      </c>
      <c r="D11" s="86">
        <f>IF(D7&lt;=0,"n/a",D6/D7)</f>
        <v>0.12191178050777848</v>
      </c>
      <c r="E11" s="86">
        <f>IF(E7&lt;=0,"n/a",E6/E7)</f>
        <v>0.15607111128775009</v>
      </c>
      <c r="F11" s="86">
        <f>IF(F7&lt;=0,"n/a",F6/F7)</f>
        <v>0.10963158873750985</v>
      </c>
      <c r="G11" s="86">
        <f>IF(G7&lt;=0,"n/a",G6/G7)</f>
        <v>-3.3432223073521672E-2</v>
      </c>
    </row>
    <row r="13" spans="1:7" x14ac:dyDescent="0.3">
      <c r="A13" s="40" t="s">
        <v>878</v>
      </c>
      <c r="B13" s="41"/>
      <c r="C13" s="41"/>
      <c r="D13" s="41"/>
      <c r="E13" s="41"/>
      <c r="F13" s="41"/>
      <c r="G13" s="41"/>
    </row>
    <row r="14" spans="1:7" x14ac:dyDescent="0.3">
      <c r="A14" s="19" t="s">
        <v>872</v>
      </c>
      <c r="C14" s="22">
        <f>C_Benefits!C12*Pools_Scenarios!$C$90</f>
        <v>2323.522259479204</v>
      </c>
      <c r="D14" s="22">
        <f>C_Benefits!D12*Pools_Scenarios!$C$90</f>
        <v>5012.0604977659241</v>
      </c>
      <c r="E14" s="22">
        <f>C_Benefits!E12*Pools_Scenarios!$C$90</f>
        <v>5585.3799234102598</v>
      </c>
      <c r="F14" s="22">
        <f>C_Benefits!F12*Pools_Scenarios!$C$90</f>
        <v>4388.4031502542084</v>
      </c>
      <c r="G14" s="22">
        <f>C_Benefits!G12*Pools_Scenarios!$C$90</f>
        <v>-1417.6357377956738</v>
      </c>
    </row>
    <row r="15" spans="1:7" x14ac:dyDescent="0.3">
      <c r="A15" s="19" t="s">
        <v>873</v>
      </c>
      <c r="C15" s="22">
        <f>(C_Pricing_Income!C8+C_Pricing_Income!C11)*Pools_Scenarios!$C$90-C_Pricing_Income!C26</f>
        <v>0</v>
      </c>
      <c r="D15" s="22">
        <f>(C_Pricing_Income!D8+C_Pricing_Income!D11)*Pools_Scenarios!$C$90-C_Pricing_Income!D26</f>
        <v>41112.191757761539</v>
      </c>
      <c r="E15" s="22">
        <f>(C_Pricing_Income!E8+C_Pricing_Income!E11)*Pools_Scenarios!$C$90-C_Pricing_Income!E26</f>
        <v>35787.404070651042</v>
      </c>
      <c r="F15" s="22">
        <f>(C_Pricing_Income!F8+C_Pricing_Income!F11)*Pools_Scenarios!$C$90-C_Pricing_Income!F26</f>
        <v>40028.637738355981</v>
      </c>
      <c r="G15" s="22">
        <f>(C_Pricing_Income!G8+C_Pricing_Income!G11)*Pools_Scenarios!$C$90-C_Pricing_Income!G26</f>
        <v>42403.274669414423</v>
      </c>
    </row>
    <row r="16" spans="1:7" x14ac:dyDescent="0.3">
      <c r="A16" s="26" t="s">
        <v>874</v>
      </c>
      <c r="C16" s="67">
        <f>C14-C15</f>
        <v>2323.522259479204</v>
      </c>
      <c r="D16" s="67">
        <f>D14-D15</f>
        <v>-36100.131259995615</v>
      </c>
      <c r="E16" s="67">
        <f>E14-E15</f>
        <v>-30202.024147240783</v>
      </c>
      <c r="F16" s="67">
        <f>F14-F15</f>
        <v>-35640.234588101775</v>
      </c>
      <c r="G16" s="67">
        <f>G14-G15</f>
        <v>-43820.910407210096</v>
      </c>
    </row>
    <row r="17" spans="1:7" x14ac:dyDescent="0.3">
      <c r="A17" s="19" t="s">
        <v>876</v>
      </c>
      <c r="C17" s="54">
        <f>C_Benefits!C10*Pools_Scenarios!$C$90-C15</f>
        <v>2323.522259479204</v>
      </c>
      <c r="D17" s="54">
        <f>C_Benefits!D10*Pools_Scenarios!$C$90-D15</f>
        <v>-36100.131259995615</v>
      </c>
      <c r="E17" s="54">
        <f>C_Benefits!E10*Pools_Scenarios!$C$90-E15</f>
        <v>-30202.024147240783</v>
      </c>
      <c r="F17" s="54">
        <f>C_Benefits!F10*Pools_Scenarios!$C$90-F15</f>
        <v>-35640.234588101775</v>
      </c>
      <c r="G17" s="54">
        <f>C_Benefits!G10*Pools_Scenarios!$C$90-G15</f>
        <v>-43820.910407210096</v>
      </c>
    </row>
    <row r="19" spans="1:7" x14ac:dyDescent="0.3">
      <c r="A19" s="40" t="s">
        <v>879</v>
      </c>
      <c r="B19" s="41"/>
      <c r="C19" s="41"/>
      <c r="D19" s="41"/>
      <c r="E19" s="41"/>
      <c r="F19" s="41"/>
      <c r="G19" s="41"/>
    </row>
    <row r="20" spans="1:7" x14ac:dyDescent="0.3">
      <c r="A20" s="26" t="s">
        <v>880</v>
      </c>
      <c r="C20" s="87" t="str">
        <f>IF(C8&gt;0,"YES","NO")</f>
        <v>YES</v>
      </c>
      <c r="D20" s="87"/>
      <c r="E20" s="87"/>
      <c r="F20" s="87"/>
      <c r="G20" s="87"/>
    </row>
    <row r="21" spans="1:7" x14ac:dyDescent="0.3">
      <c r="A21" s="26" t="s">
        <v>881</v>
      </c>
      <c r="C21" s="87" t="str">
        <f>IF(C16&gt;0,"YES","NO")</f>
        <v>YES</v>
      </c>
      <c r="D21" s="87"/>
      <c r="E21" s="87"/>
      <c r="F21" s="87"/>
      <c r="G21" s="87"/>
    </row>
    <row r="23" spans="1:7" x14ac:dyDescent="0.3">
      <c r="A23" s="69" t="s">
        <v>882</v>
      </c>
      <c r="B23" s="70"/>
      <c r="C23" s="70"/>
      <c r="D23" s="70"/>
      <c r="E23" s="70"/>
      <c r="F23" s="70"/>
      <c r="G23" s="70"/>
    </row>
    <row r="24" spans="1:7" x14ac:dyDescent="0.3">
      <c r="A24" s="71" t="s">
        <v>883</v>
      </c>
      <c r="C24" s="22">
        <f>C_Pricing_Income!C25</f>
        <v>20000</v>
      </c>
      <c r="D24" s="22">
        <f>C_Pricing_Income!D25</f>
        <v>34260.159798134613</v>
      </c>
      <c r="E24" s="22">
        <f>C_Pricing_Income!E25</f>
        <v>29822.836725542536</v>
      </c>
      <c r="F24" s="22">
        <f>C_Pricing_Income!F25</f>
        <v>33357.198115296647</v>
      </c>
      <c r="G24" s="22">
        <f>C_Pricing_Income!G25</f>
        <v>35336.062224512018</v>
      </c>
    </row>
    <row r="25" spans="1:7" x14ac:dyDescent="0.3">
      <c r="A25" s="69" t="s">
        <v>884</v>
      </c>
      <c r="C25" s="68">
        <f>C_Benefits!C10+MIN(C_Benefits!C11,C_Benefits!C32)-C7</f>
        <v>5808.8056486980095</v>
      </c>
      <c r="D25" s="68">
        <f>C_Benefits!D10+MIN(C_Benefits!D11,C_Benefits!D32)-D7</f>
        <v>-90250.328149989029</v>
      </c>
      <c r="E25" s="68">
        <f>C_Benefits!E10+MIN(C_Benefits!E11,C_Benefits!E32)-E7</f>
        <v>-75505.060368101957</v>
      </c>
      <c r="F25" s="68">
        <f>C_Benefits!F10+MIN(C_Benefits!F11,C_Benefits!F32)-F7</f>
        <v>-89100.58647025442</v>
      </c>
      <c r="G25" s="68">
        <f>C_Benefits!G10+MIN(C_Benefits!G11,C_Benefits!G32)-G7</f>
        <v>-109552.27601802524</v>
      </c>
    </row>
    <row r="26" spans="1:7" x14ac:dyDescent="0.3">
      <c r="A26" s="71" t="s">
        <v>885</v>
      </c>
      <c r="C26" s="22">
        <f>C_Pricing_Income!C26</f>
        <v>8000</v>
      </c>
      <c r="D26" s="22">
        <f>C_Pricing_Income!D26</f>
        <v>13704.063919253846</v>
      </c>
      <c r="E26" s="22">
        <f>C_Pricing_Income!E26</f>
        <v>11929.134690217015</v>
      </c>
      <c r="F26" s="22">
        <f>C_Pricing_Income!F26</f>
        <v>13342.87924611866</v>
      </c>
      <c r="G26" s="22">
        <f>C_Pricing_Income!G26</f>
        <v>14134.424889804808</v>
      </c>
    </row>
    <row r="27" spans="1:7" x14ac:dyDescent="0.3">
      <c r="A27" s="69" t="s">
        <v>886</v>
      </c>
      <c r="C27" s="87" t="str">
        <f>IF(C10&gt;0,"YES","NO")</f>
        <v>YES</v>
      </c>
      <c r="D27" s="87"/>
      <c r="E27" s="87"/>
      <c r="F27" s="87"/>
      <c r="G27" s="87"/>
    </row>
    <row r="28" spans="1:7" x14ac:dyDescent="0.3">
      <c r="A28" s="69" t="s">
        <v>887</v>
      </c>
      <c r="C28" s="87" t="str">
        <f>IF(C17&gt;0,"YES","NO")</f>
        <v>YES</v>
      </c>
      <c r="D28" s="87"/>
      <c r="E28" s="87"/>
      <c r="F28" s="87"/>
      <c r="G28" s="87"/>
    </row>
    <row r="29" spans="1:7" x14ac:dyDescent="0.3">
      <c r="A29" s="71" t="s">
        <v>888</v>
      </c>
      <c r="C29" s="54">
        <f>C8-C_Benefits!C34-C_Pools!C45*Pools_Scenarios!$C$102*(1+Assumptions!$B$149)*Pools_Scenarios!$C$103</f>
        <v>-147621.39435130201</v>
      </c>
      <c r="D29" s="54">
        <f>D8-C_Benefits!D34-C_Pools!D45*Pools_Scenarios!$C$102*(1+Assumptions!$B$149)*Pools_Scenarios!$C$103</f>
        <v>-225574.32814998907</v>
      </c>
      <c r="E29" s="54">
        <f>E8-C_Benefits!E34-C_Pools!E45*Pools_Scenarios!$C$102*(1+Assumptions!$B$149)*Pools_Scenarios!$C$103</f>
        <v>-196313.86036810197</v>
      </c>
      <c r="F29" s="54">
        <f>F8-C_Benefits!F34-C_Pools!F45*Pools_Scenarios!$C$102*(1+Assumptions!$B$149)*Pools_Scenarios!$C$103</f>
        <v>-210665.38647025445</v>
      </c>
      <c r="G29" s="54">
        <f>G8-C_Benefits!G34-C_Pools!G45*Pools_Scenarios!$C$102*(1+Assumptions!$B$149)*Pools_Scenarios!$C$103</f>
        <v>-178650.67601802526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BFBF"/>
  </sheetPr>
  <dimension ref="A1:G18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56" customWidth="1"/>
    <col min="3" max="7" width="14" customWidth="1"/>
  </cols>
  <sheetData>
    <row r="1" spans="1:7" ht="17.399999999999999" x14ac:dyDescent="0.3">
      <c r="A1" s="13" t="s">
        <v>1115</v>
      </c>
    </row>
    <row r="2" spans="1:7" x14ac:dyDescent="0.3">
      <c r="A2" s="14" t="s">
        <v>944</v>
      </c>
    </row>
    <row r="4" spans="1:7" x14ac:dyDescent="0.3">
      <c r="A4" s="20" t="s">
        <v>945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19" t="s">
        <v>946</v>
      </c>
      <c r="B5" s="73" t="s">
        <v>947</v>
      </c>
      <c r="C5" s="22">
        <f>C_Benefits!C20</f>
        <v>1</v>
      </c>
      <c r="D5" s="22">
        <f>C_Benefits!D20</f>
        <v>2</v>
      </c>
      <c r="E5" s="22">
        <f>C_Benefits!E20</f>
        <v>4</v>
      </c>
      <c r="F5" s="22">
        <f>C_Benefits!F20</f>
        <v>6</v>
      </c>
      <c r="G5" s="22">
        <f>C_Benefits!G20</f>
        <v>8</v>
      </c>
    </row>
    <row r="6" spans="1:7" x14ac:dyDescent="0.3">
      <c r="A6" s="19" t="s">
        <v>948</v>
      </c>
      <c r="B6" s="73" t="s">
        <v>949</v>
      </c>
      <c r="C6" s="54">
        <f>Assumptions!$B$44*Assumptions!$B$45*12*(1+Assumptions!$B$46)*Assumptions!$B$84</f>
        <v>55176</v>
      </c>
      <c r="D6" s="54">
        <f>Assumptions!$B$44*Assumptions!$B$45*12*(1+Assumptions!$B$46)</f>
        <v>110352</v>
      </c>
      <c r="E6" s="54">
        <f>Assumptions!$B$44*Assumptions!$B$45*12*(1+Assumptions!$B$46)</f>
        <v>110352</v>
      </c>
      <c r="F6" s="54">
        <f>Assumptions!$B$44*Assumptions!$B$45*12*(1+Assumptions!$B$46)</f>
        <v>110352</v>
      </c>
      <c r="G6" s="54">
        <f>Assumptions!$B$44*Assumptions!$B$45*12*(1+Assumptions!$B$46)</f>
        <v>110352</v>
      </c>
    </row>
    <row r="7" spans="1:7" x14ac:dyDescent="0.3">
      <c r="A7" s="19" t="s">
        <v>950</v>
      </c>
      <c r="B7" s="73" t="s">
        <v>951</v>
      </c>
      <c r="C7" s="54">
        <f>Assumptions!$B$47*Assumptions!$B$48*Assumptions!$B$85</f>
        <v>29399.999999999996</v>
      </c>
      <c r="D7" s="54">
        <f>0</f>
        <v>0</v>
      </c>
      <c r="E7" s="54">
        <f>0</f>
        <v>0</v>
      </c>
      <c r="F7" s="54">
        <f>0</f>
        <v>0</v>
      </c>
      <c r="G7" s="54">
        <f>0</f>
        <v>0</v>
      </c>
    </row>
    <row r="8" spans="1:7" x14ac:dyDescent="0.3">
      <c r="A8" s="19" t="s">
        <v>952</v>
      </c>
      <c r="B8" s="73" t="s">
        <v>953</v>
      </c>
      <c r="C8" s="54">
        <f>Assumptions!$B$161*Assumptions!$B$48*12*(1+Assumptions!$B$46)</f>
        <v>0</v>
      </c>
      <c r="D8" s="54">
        <f>Assumptions!$C$161*Assumptions!$B$48*12*(1+Assumptions!$B$46)</f>
        <v>0</v>
      </c>
      <c r="E8" s="54">
        <f>Pools_Scenarios!$C$92*Assumptions!$B$48*12*(1+Assumptions!$B$46)</f>
        <v>0</v>
      </c>
      <c r="F8" s="54">
        <f>Assumptions!$E$161*Assumptions!$B$48*12*(1+Assumptions!$B$46)</f>
        <v>96558</v>
      </c>
      <c r="G8" s="54">
        <f>Assumptions!$F$161*Assumptions!$B$48*12*(1+Assumptions!$B$46)</f>
        <v>193116</v>
      </c>
    </row>
    <row r="9" spans="1:7" x14ac:dyDescent="0.3">
      <c r="A9" s="19" t="s">
        <v>954</v>
      </c>
      <c r="B9" s="73" t="s">
        <v>955</v>
      </c>
      <c r="C9" s="54">
        <f>Assumptions!$B$162</f>
        <v>0</v>
      </c>
      <c r="D9" s="54">
        <f>Assumptions!$C$162</f>
        <v>18000</v>
      </c>
      <c r="E9" s="54">
        <f>Assumptions!$D$162</f>
        <v>36000</v>
      </c>
      <c r="F9" s="54">
        <f>Assumptions!$E$162</f>
        <v>36000</v>
      </c>
      <c r="G9" s="54">
        <f>Assumptions!$F$162</f>
        <v>48000</v>
      </c>
    </row>
    <row r="10" spans="1:7" x14ac:dyDescent="0.3">
      <c r="A10" s="19" t="s">
        <v>956</v>
      </c>
      <c r="B10" s="73" t="s">
        <v>957</v>
      </c>
      <c r="C10" s="54">
        <f>(C5*Assumptions!$B$49+Assumptions!$B$51*Assumptions!$B$50)*12*Assumptions!$B$52</f>
        <v>3432.0000000000005</v>
      </c>
      <c r="D10" s="54">
        <f>(D5*Assumptions!$B$49+Assumptions!$B$51*Assumptions!$B$50)*12*Assumptions!$B$52</f>
        <v>4752</v>
      </c>
      <c r="E10" s="54">
        <f>(E5*Assumptions!$B$49+Assumptions!$B$51*Assumptions!$B$50)*12*Assumptions!$B$52</f>
        <v>7392.0000000000009</v>
      </c>
      <c r="F10" s="54">
        <f>(F5*Assumptions!$B$49+Assumptions!$B$51*Assumptions!$B$50)*12*Assumptions!$B$52</f>
        <v>10032</v>
      </c>
      <c r="G10" s="54">
        <f>(G5*Assumptions!$B$49+Assumptions!$B$51*Assumptions!$B$50)*12*Assumptions!$B$52</f>
        <v>12672.000000000002</v>
      </c>
    </row>
    <row r="11" spans="1:7" x14ac:dyDescent="0.3">
      <c r="A11" s="19" t="s">
        <v>958</v>
      </c>
      <c r="B11" s="73" t="s">
        <v>959</v>
      </c>
      <c r="C11" s="54">
        <f>Assumptions!$B$53</f>
        <v>15000</v>
      </c>
      <c r="D11" s="54">
        <f>Assumptions!$B$54</f>
        <v>8000</v>
      </c>
      <c r="E11" s="54">
        <f>Assumptions!$B$54</f>
        <v>8000</v>
      </c>
      <c r="F11" s="54">
        <f>Assumptions!$B$54</f>
        <v>8000</v>
      </c>
      <c r="G11" s="54">
        <f>Assumptions!$B$54</f>
        <v>8000</v>
      </c>
    </row>
    <row r="12" spans="1:7" x14ac:dyDescent="0.3">
      <c r="A12" s="19" t="s">
        <v>960</v>
      </c>
      <c r="B12" s="73" t="s">
        <v>961</v>
      </c>
      <c r="C12" s="54">
        <f>Assumptions!$B$55</f>
        <v>15000</v>
      </c>
      <c r="D12" s="54">
        <f>Assumptions!$B$56</f>
        <v>5000</v>
      </c>
      <c r="E12" s="54">
        <f>Assumptions!$B$56</f>
        <v>5000</v>
      </c>
      <c r="F12" s="54">
        <f>Assumptions!$B$56</f>
        <v>5000</v>
      </c>
      <c r="G12" s="54">
        <f>Assumptions!$B$56</f>
        <v>5000</v>
      </c>
    </row>
    <row r="13" spans="1:7" x14ac:dyDescent="0.3">
      <c r="A13" s="19" t="s">
        <v>962</v>
      </c>
      <c r="B13" s="73" t="s">
        <v>963</v>
      </c>
      <c r="C13" s="54">
        <f>Assumptions!$B$159*Assumptions!$B$57</f>
        <v>8000</v>
      </c>
      <c r="D13" s="54">
        <f>Pools_Scenarios!$C$86*Assumptions!$B$86</f>
        <v>5000</v>
      </c>
      <c r="E13" s="54">
        <f>Assumptions!$D$159*Assumptions!$B$86</f>
        <v>10000</v>
      </c>
      <c r="F13" s="54">
        <f>Assumptions!$E$159*Assumptions!$B$86</f>
        <v>10000</v>
      </c>
      <c r="G13" s="54">
        <f>Assumptions!$F$159*Assumptions!$B$86</f>
        <v>10000</v>
      </c>
    </row>
    <row r="14" spans="1:7" x14ac:dyDescent="0.3">
      <c r="A14" s="26" t="s">
        <v>964</v>
      </c>
      <c r="B14" s="73"/>
      <c r="C14" s="67">
        <f>SUM(C6:C13)</f>
        <v>126008</v>
      </c>
      <c r="D14" s="67">
        <f>SUM(D6:D13)</f>
        <v>151104</v>
      </c>
      <c r="E14" s="67">
        <f>SUM(E6:E13)</f>
        <v>176744</v>
      </c>
      <c r="F14" s="67">
        <f>SUM(F6:F13)</f>
        <v>275942</v>
      </c>
      <c r="G14" s="67">
        <f>SUM(G6:G13)</f>
        <v>387140</v>
      </c>
    </row>
    <row r="16" spans="1:7" x14ac:dyDescent="0.3">
      <c r="A16" s="69" t="s">
        <v>965</v>
      </c>
      <c r="B16" s="70"/>
      <c r="C16" s="70"/>
      <c r="D16" s="70"/>
      <c r="E16" s="70"/>
      <c r="F16" s="70"/>
      <c r="G16" s="70"/>
    </row>
    <row r="17" spans="1:7" x14ac:dyDescent="0.3">
      <c r="A17" s="71" t="s">
        <v>966</v>
      </c>
      <c r="B17" s="73" t="s">
        <v>967</v>
      </c>
      <c r="C17" s="54">
        <f>Assumptions!$B$44*Assumptions!$B$45*12*(1-Assumptions!$B$84)</f>
        <v>48000</v>
      </c>
      <c r="D17" s="54">
        <f>0</f>
        <v>0</v>
      </c>
      <c r="E17" s="54">
        <f>0</f>
        <v>0</v>
      </c>
      <c r="F17" s="54">
        <f>0</f>
        <v>0</v>
      </c>
      <c r="G17" s="54">
        <f>0</f>
        <v>0</v>
      </c>
    </row>
    <row r="18" spans="1:7" x14ac:dyDescent="0.3">
      <c r="A18" s="71" t="s">
        <v>968</v>
      </c>
      <c r="B18" s="73" t="s">
        <v>969</v>
      </c>
      <c r="C18" s="54">
        <f>Assumptions!$B$47*Assumptions!$B$48*(1-Assumptions!$B$85)</f>
        <v>12600.000000000002</v>
      </c>
      <c r="D18" s="54">
        <f>0</f>
        <v>0</v>
      </c>
      <c r="E18" s="54">
        <f>0</f>
        <v>0</v>
      </c>
      <c r="F18" s="54">
        <f>0</f>
        <v>0</v>
      </c>
      <c r="G18" s="54">
        <f>0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BFBF"/>
  </sheetPr>
  <dimension ref="A1:H39"/>
  <sheetViews>
    <sheetView zoomScaleNormal="100" workbookViewId="0"/>
  </sheetViews>
  <sheetFormatPr defaultColWidth="8.6640625" defaultRowHeight="14.4" x14ac:dyDescent="0.3"/>
  <cols>
    <col min="1" max="1" width="46" customWidth="1"/>
    <col min="2" max="2" width="2" customWidth="1"/>
    <col min="3" max="8" width="14" customWidth="1"/>
  </cols>
  <sheetData>
    <row r="1" spans="1:8" ht="17.399999999999999" x14ac:dyDescent="0.3">
      <c r="A1" s="13" t="s">
        <v>1116</v>
      </c>
    </row>
    <row r="4" spans="1:8" x14ac:dyDescent="0.3">
      <c r="A4" s="20" t="s">
        <v>564</v>
      </c>
      <c r="B4" s="21"/>
      <c r="C4" s="21" t="s">
        <v>537</v>
      </c>
      <c r="D4" s="21" t="s">
        <v>538</v>
      </c>
      <c r="E4" s="21" t="s">
        <v>539</v>
      </c>
      <c r="F4" s="21" t="s">
        <v>540</v>
      </c>
      <c r="G4" s="21" t="s">
        <v>541</v>
      </c>
      <c r="H4" s="21" t="s">
        <v>971</v>
      </c>
    </row>
    <row r="5" spans="1:8" x14ac:dyDescent="0.3">
      <c r="A5" s="19" t="s">
        <v>972</v>
      </c>
      <c r="C5" s="22">
        <f>C_Benefits!C20</f>
        <v>1</v>
      </c>
      <c r="D5" s="22">
        <f>C_Benefits!D20</f>
        <v>2</v>
      </c>
      <c r="E5" s="22">
        <f>C_Benefits!E20</f>
        <v>4</v>
      </c>
      <c r="F5" s="22">
        <f>C_Benefits!F20</f>
        <v>6</v>
      </c>
      <c r="G5" s="22">
        <f>C_Benefits!G20</f>
        <v>8</v>
      </c>
    </row>
    <row r="6" spans="1:8" x14ac:dyDescent="0.3">
      <c r="A6" s="19" t="s">
        <v>973</v>
      </c>
      <c r="C6" s="22">
        <f>C_Benefits!C23</f>
        <v>5808.8056486980095</v>
      </c>
      <c r="D6" s="22">
        <f>C_Benefits!D23</f>
        <v>14853.673503894013</v>
      </c>
      <c r="E6" s="22">
        <f>C_Benefits!E23</f>
        <v>23622.554825249979</v>
      </c>
      <c r="F6" s="22">
        <f>C_Benefits!F23</f>
        <v>31227.553313536038</v>
      </c>
      <c r="G6" s="22">
        <f>C_Benefits!G23</f>
        <v>26686.239167075801</v>
      </c>
      <c r="H6" s="68">
        <f>SUM(C6:G6)</f>
        <v>102198.82645845384</v>
      </c>
    </row>
    <row r="7" spans="1:8" x14ac:dyDescent="0.3">
      <c r="A7" s="19" t="s">
        <v>974</v>
      </c>
      <c r="C7" s="22">
        <f>C_Pricing_Income!C18</f>
        <v>0</v>
      </c>
      <c r="D7" s="22">
        <f>C_Pricing_Income!D18</f>
        <v>102780.47939440384</v>
      </c>
      <c r="E7" s="22">
        <f>C_Pricing_Income!E18</f>
        <v>130580.70193438916</v>
      </c>
      <c r="F7" s="22">
        <f>C_Pricing_Income!F18</f>
        <v>218083.38193206408</v>
      </c>
      <c r="G7" s="22">
        <f>C_Pricing_Income!G18</f>
        <v>299836.01606871717</v>
      </c>
      <c r="H7" s="68">
        <f>SUM(C7:G7)</f>
        <v>751280.57932957425</v>
      </c>
    </row>
    <row r="8" spans="1:8" x14ac:dyDescent="0.3">
      <c r="A8" s="19" t="s">
        <v>975</v>
      </c>
      <c r="C8" s="22">
        <f>C_Pricing_Income!C20</f>
        <v>18411.716475113644</v>
      </c>
      <c r="D8" s="22">
        <f>C_Pricing_Income!D20</f>
        <v>156137.9555125722</v>
      </c>
      <c r="E8" s="22">
        <f>C_Pricing_Income!E20</f>
        <v>223852.15222911729</v>
      </c>
      <c r="F8" s="22">
        <f>C_Pricing_Income!F20</f>
        <v>359589.02157360967</v>
      </c>
      <c r="G8" s="22">
        <f>C_Pricing_Income!G20</f>
        <v>490119.06788956362</v>
      </c>
      <c r="H8" s="68">
        <f>SUM(C8:G8)</f>
        <v>1248109.9136799765</v>
      </c>
    </row>
    <row r="9" spans="1:8" x14ac:dyDescent="0.3">
      <c r="A9" s="19" t="s">
        <v>976</v>
      </c>
      <c r="C9" s="22">
        <f>C_Spendings!C14</f>
        <v>126008</v>
      </c>
      <c r="D9" s="22">
        <f>C_Spendings!D14</f>
        <v>151104</v>
      </c>
      <c r="E9" s="22">
        <f>C_Spendings!E14</f>
        <v>176744</v>
      </c>
      <c r="F9" s="22">
        <f>C_Spendings!F14</f>
        <v>275942</v>
      </c>
      <c r="G9" s="22">
        <f>C_Spendings!G14</f>
        <v>387140</v>
      </c>
      <c r="H9" s="68">
        <f>SUM(C9:G9)</f>
        <v>1116938</v>
      </c>
    </row>
    <row r="10" spans="1:8" x14ac:dyDescent="0.3">
      <c r="A10" s="26" t="s">
        <v>977</v>
      </c>
      <c r="C10" s="67">
        <f>C8-C9</f>
        <v>-107596.28352488636</v>
      </c>
      <c r="D10" s="67">
        <f>D8-D9</f>
        <v>5033.9555125721963</v>
      </c>
      <c r="E10" s="67">
        <f>E8-E9</f>
        <v>47108.152229117288</v>
      </c>
      <c r="F10" s="67">
        <f>F8-F9</f>
        <v>83647.021573609672</v>
      </c>
      <c r="G10" s="67">
        <f>G8-G9</f>
        <v>102979.06788956362</v>
      </c>
      <c r="H10" s="68">
        <f>SUM(C10:G10)</f>
        <v>131171.91367997642</v>
      </c>
    </row>
    <row r="11" spans="1:8" x14ac:dyDescent="0.3">
      <c r="A11" s="26" t="s">
        <v>978</v>
      </c>
      <c r="C11" s="68">
        <f>C10</f>
        <v>-107596.28352488636</v>
      </c>
      <c r="D11" s="68">
        <f>C11+D10</f>
        <v>-102562.32801231416</v>
      </c>
      <c r="E11" s="68">
        <f>D11+E10</f>
        <v>-55454.175783196872</v>
      </c>
      <c r="F11" s="68">
        <f>E11+F10</f>
        <v>28192.845790412801</v>
      </c>
      <c r="G11" s="68">
        <f>F11+G10</f>
        <v>131171.91367997642</v>
      </c>
    </row>
    <row r="12" spans="1:8" x14ac:dyDescent="0.3">
      <c r="A12" s="19" t="s">
        <v>979</v>
      </c>
      <c r="C12" s="51">
        <f>IF(C8&lt;=0,"n/a",C10/C8)</f>
        <v>-5.8439029120571027</v>
      </c>
      <c r="D12" s="51">
        <f>IF(D8&lt;=0,"n/a",D10/D8)</f>
        <v>3.2240434403323942E-2</v>
      </c>
      <c r="E12" s="51">
        <f>IF(E8&lt;=0,"n/a",E10/E8)</f>
        <v>0.21044315080295106</v>
      </c>
      <c r="F12" s="51">
        <f>IF(F8&lt;=0,"n/a",F10/F8)</f>
        <v>0.23261839643368173</v>
      </c>
      <c r="G12" s="51">
        <f>IF(G8&lt;=0,"n/a",G10/G8)</f>
        <v>0.21011030714023851</v>
      </c>
    </row>
    <row r="13" spans="1:8" x14ac:dyDescent="0.3">
      <c r="A13" s="26" t="s">
        <v>980</v>
      </c>
      <c r="C13" s="68">
        <f>C6-C7</f>
        <v>5808.8056486980095</v>
      </c>
      <c r="D13" s="68">
        <f>D6-D7</f>
        <v>-87926.80589050983</v>
      </c>
      <c r="E13" s="68">
        <f>E6-E7</f>
        <v>-106958.14710913919</v>
      </c>
      <c r="F13" s="68">
        <f>F6-F7</f>
        <v>-186855.82861852803</v>
      </c>
      <c r="G13" s="68">
        <f>G6-G7</f>
        <v>-273149.77690164139</v>
      </c>
      <c r="H13" s="68">
        <f>SUM(C13:G13)</f>
        <v>-649081.75287112046</v>
      </c>
    </row>
    <row r="15" spans="1:8" x14ac:dyDescent="0.3">
      <c r="A15" s="40" t="s">
        <v>981</v>
      </c>
      <c r="B15" s="41"/>
      <c r="C15" s="41"/>
      <c r="D15" s="41"/>
      <c r="E15" s="41"/>
      <c r="F15" s="41"/>
      <c r="G15" s="41"/>
      <c r="H15" s="41"/>
    </row>
    <row r="16" spans="1:8" x14ac:dyDescent="0.3">
      <c r="A16" s="19" t="s">
        <v>982</v>
      </c>
      <c r="C16" s="82">
        <f>(H8-H9)/H9</f>
        <v>0.11743884949744433</v>
      </c>
      <c r="D16" s="73" t="s">
        <v>983</v>
      </c>
    </row>
    <row r="17" spans="1:8" x14ac:dyDescent="0.3">
      <c r="A17" s="19" t="s">
        <v>984</v>
      </c>
      <c r="C17" s="82">
        <f>(H6-H7)/H7</f>
        <v>-0.86396716583615962</v>
      </c>
      <c r="D17" s="73" t="s">
        <v>985</v>
      </c>
    </row>
    <row r="18" spans="1:8" x14ac:dyDescent="0.3">
      <c r="A18" s="19" t="s">
        <v>986</v>
      </c>
      <c r="C18" s="87" t="str">
        <f>IF(C10&gt;0,"Y1",IF(D10&gt;0,"Y2",IF(E10&gt;0,"Y3",IF(F10&gt;0,"Y4",IF(G10&gt;0,"Y5","Not in 5 yrs")))))</f>
        <v>Y2</v>
      </c>
      <c r="D18" s="73"/>
    </row>
    <row r="19" spans="1:8" x14ac:dyDescent="0.3">
      <c r="A19" s="19" t="s">
        <v>987</v>
      </c>
      <c r="C19" s="87" t="str">
        <f>IF(C11&gt;0,"Y1",IF(D11&gt;0,"Y2",IF(E11&gt;0,"Y3",IF(F11&gt;0,"Y4",IF(G11&gt;0,"Y5","Not in 5 yrs")))))</f>
        <v>Y4</v>
      </c>
      <c r="D19" s="73"/>
    </row>
    <row r="20" spans="1:8" x14ac:dyDescent="0.3">
      <c r="A20" s="19" t="s">
        <v>988</v>
      </c>
      <c r="C20" s="87" t="str">
        <f>IF(C10&lt;0,"YES","NO")</f>
        <v>YES</v>
      </c>
      <c r="D20" s="73"/>
    </row>
    <row r="21" spans="1:8" x14ac:dyDescent="0.3">
      <c r="A21" s="19" t="s">
        <v>989</v>
      </c>
      <c r="C21" s="87" t="str">
        <f>IF(AND(D10&gt;0,E10&gt;0,F10&gt;0,G10&gt;0),"YES","NO")</f>
        <v>YES</v>
      </c>
      <c r="D21" s="73"/>
    </row>
    <row r="22" spans="1:8" x14ac:dyDescent="0.3">
      <c r="A22" s="19" t="s">
        <v>990</v>
      </c>
      <c r="C22" s="87" t="str">
        <f>C_Customer_ROI!C20</f>
        <v>YES</v>
      </c>
      <c r="D22" s="73"/>
    </row>
    <row r="24" spans="1:8" x14ac:dyDescent="0.3">
      <c r="A24" s="40" t="s">
        <v>991</v>
      </c>
      <c r="B24" s="41"/>
      <c r="C24" s="41"/>
      <c r="D24" s="41"/>
      <c r="E24" s="41"/>
      <c r="F24" s="41"/>
      <c r="G24" s="41"/>
      <c r="H24" s="41"/>
    </row>
    <row r="25" spans="1:8" ht="26.4" x14ac:dyDescent="0.3">
      <c r="A25" s="20" t="s">
        <v>992</v>
      </c>
      <c r="B25" s="21"/>
      <c r="C25" s="21" t="s">
        <v>993</v>
      </c>
      <c r="D25" s="21" t="s">
        <v>994</v>
      </c>
      <c r="E25" s="21" t="s">
        <v>995</v>
      </c>
    </row>
    <row r="26" spans="1:8" x14ac:dyDescent="0.3">
      <c r="A26" s="19" t="s">
        <v>537</v>
      </c>
      <c r="C26" s="92">
        <f>C10</f>
        <v>-107596.28352488636</v>
      </c>
      <c r="D26" s="93">
        <f>1/(1+Pools_Scenarios!$C$88)^1</f>
        <v>0.83333333333333337</v>
      </c>
      <c r="E26" s="92">
        <f>C26*D26</f>
        <v>-89663.569604071963</v>
      </c>
    </row>
    <row r="27" spans="1:8" x14ac:dyDescent="0.3">
      <c r="A27" s="19" t="s">
        <v>538</v>
      </c>
      <c r="C27" s="92">
        <f>D10</f>
        <v>5033.9555125721963</v>
      </c>
      <c r="D27" s="93">
        <f>1/(1+Pools_Scenarios!$C$88)^2</f>
        <v>0.69444444444444442</v>
      </c>
      <c r="E27" s="92">
        <f>C27*D27</f>
        <v>3495.8024392862471</v>
      </c>
    </row>
    <row r="28" spans="1:8" x14ac:dyDescent="0.3">
      <c r="A28" s="19" t="s">
        <v>539</v>
      </c>
      <c r="C28" s="92">
        <f>E10</f>
        <v>47108.152229117288</v>
      </c>
      <c r="D28" s="93">
        <f>1/(1+Pools_Scenarios!$C$88)^3</f>
        <v>0.57870370370370372</v>
      </c>
      <c r="E28" s="92">
        <f>C28*D28</f>
        <v>27261.66216962806</v>
      </c>
    </row>
    <row r="29" spans="1:8" x14ac:dyDescent="0.3">
      <c r="A29" s="19" t="s">
        <v>540</v>
      </c>
      <c r="C29" s="92">
        <f>F10</f>
        <v>83647.021573609672</v>
      </c>
      <c r="D29" s="93">
        <f>1/(1+Pools_Scenarios!$C$88)^4</f>
        <v>0.48225308641975312</v>
      </c>
      <c r="E29" s="92">
        <f>C29*D29</f>
        <v>40339.03432369294</v>
      </c>
    </row>
    <row r="30" spans="1:8" x14ac:dyDescent="0.3">
      <c r="A30" s="19" t="s">
        <v>541</v>
      </c>
      <c r="C30" s="92">
        <f>G10</f>
        <v>102979.06788956362</v>
      </c>
      <c r="D30" s="93">
        <f>1/(1+Pools_Scenarios!$C$88)^5</f>
        <v>0.4018775720164609</v>
      </c>
      <c r="E30" s="92">
        <f>C30*D30</f>
        <v>41384.977771976119</v>
      </c>
    </row>
    <row r="31" spans="1:8" x14ac:dyDescent="0.3">
      <c r="A31" s="26" t="s">
        <v>996</v>
      </c>
      <c r="E31" s="68">
        <f>SUM(E26:E30)</f>
        <v>22817.907100511402</v>
      </c>
    </row>
    <row r="33" spans="1:8" x14ac:dyDescent="0.3">
      <c r="A33" s="16" t="s">
        <v>997</v>
      </c>
    </row>
    <row r="35" spans="1:8" x14ac:dyDescent="0.3">
      <c r="A35" s="69" t="s">
        <v>998</v>
      </c>
      <c r="B35" s="70"/>
      <c r="C35" s="70"/>
      <c r="D35" s="70"/>
      <c r="E35" s="70"/>
      <c r="F35" s="70"/>
      <c r="G35" s="70"/>
      <c r="H35" s="70"/>
    </row>
    <row r="36" spans="1:8" x14ac:dyDescent="0.3">
      <c r="A36" s="71" t="s">
        <v>999</v>
      </c>
      <c r="C36" s="22">
        <f>Assumptions!$B$87</f>
        <v>120000</v>
      </c>
      <c r="D36" s="22">
        <f>0</f>
        <v>0</v>
      </c>
      <c r="E36" s="22">
        <f>0</f>
        <v>0</v>
      </c>
      <c r="F36" s="22">
        <f>0</f>
        <v>0</v>
      </c>
      <c r="G36" s="22">
        <f>0</f>
        <v>0</v>
      </c>
      <c r="H36" s="68">
        <f>SUM(C36:G36)</f>
        <v>120000</v>
      </c>
    </row>
    <row r="37" spans="1:8" x14ac:dyDescent="0.3">
      <c r="A37" s="69" t="s">
        <v>1000</v>
      </c>
      <c r="C37" s="68">
        <f>C10+C36</f>
        <v>12403.716475113644</v>
      </c>
      <c r="D37" s="68">
        <f>C37+D10+D36</f>
        <v>17437.671987685841</v>
      </c>
      <c r="E37" s="68">
        <f>D37+E10+E36</f>
        <v>64545.824216803128</v>
      </c>
      <c r="F37" s="68">
        <f>E37+F10+F36</f>
        <v>148192.8457904128</v>
      </c>
      <c r="G37" s="68">
        <f>F37+G10+G36</f>
        <v>251171.91367997642</v>
      </c>
    </row>
    <row r="38" spans="1:8" x14ac:dyDescent="0.3">
      <c r="A38" s="71" t="s">
        <v>1001</v>
      </c>
      <c r="C38" s="87" t="str">
        <f>IF(MIN(C37:G37)&gt;=0,"YES","NO")</f>
        <v>YES</v>
      </c>
      <c r="D38" s="73"/>
    </row>
    <row r="39" spans="1:8" x14ac:dyDescent="0.3">
      <c r="A39" s="71" t="s">
        <v>1002</v>
      </c>
      <c r="C39" s="68">
        <f>NPV(Pools_Scenarios!$C$88,C13:G13)</f>
        <v>-318001.25557271426</v>
      </c>
      <c r="D39" s="73" t="s">
        <v>1003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Investor_View</vt:lpstr>
      <vt:lpstr>Business_Case</vt:lpstr>
      <vt:lpstr>Assumptions</vt:lpstr>
      <vt:lpstr>Pools_Scenarios</vt:lpstr>
      <vt:lpstr>EV_Pilot</vt:lpstr>
      <vt:lpstr>Benefits</vt:lpstr>
      <vt:lpstr>Pricing_Income</vt:lpstr>
      <vt:lpstr>Customer_ROI</vt:lpstr>
      <vt:lpstr>Investor_ROI</vt:lpstr>
      <vt:lpstr>Spendings</vt:lpstr>
      <vt:lpstr>ROI</vt:lpstr>
      <vt:lpstr>Dashboard</vt:lpstr>
      <vt:lpstr>References</vt:lpstr>
      <vt:lpstr>Conservative_Test</vt:lpstr>
      <vt:lpstr>C_Pools</vt:lpstr>
      <vt:lpstr>C_Benefits</vt:lpstr>
      <vt:lpstr>C_Pricing_Income</vt:lpstr>
      <vt:lpstr>C_Customer_ROI</vt:lpstr>
      <vt:lpstr>C_Spendings</vt:lpstr>
      <vt:lpstr>C_ROI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CHUA PEI YING</cp:lastModifiedBy>
  <cp:revision>1</cp:revision>
  <dcterms:created xsi:type="dcterms:W3CDTF">2026-10-18T06:23:18Z</dcterms:created>
  <dcterms:modified xsi:type="dcterms:W3CDTF">2026-10-18T06:40:32Z</dcterms:modified>
  <dc:language>en-US</dc:language>
</cp:coreProperties>
</file>
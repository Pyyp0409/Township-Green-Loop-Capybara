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4.xml.rels" ContentType="application/vnd.openxmlformats-package.relationships+xml"/>
  <Override PartName="/xl/worksheets/_rels/sheet1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vestor_View" sheetId="2" state="visible" r:id="rId4"/>
    <sheet name="Assumptions" sheetId="3" state="visible" r:id="rId5"/>
    <sheet name="Yearly_Inputs" sheetId="4" state="visible" r:id="rId6"/>
    <sheet name="Scenarios" sheetId="5" state="visible" r:id="rId7"/>
    <sheet name="Pools" sheetId="6" state="visible" r:id="rId8"/>
    <sheet name="EV_Pilot" sheetId="7" state="visible" r:id="rId9"/>
    <sheet name="Benefits" sheetId="8" state="visible" r:id="rId10"/>
    <sheet name="Pricing_Income" sheetId="9" state="visible" r:id="rId11"/>
    <sheet name="Customer_ROI" sheetId="10" state="visible" r:id="rId12"/>
    <sheet name="Investor_ROI" sheetId="11" state="visible" r:id="rId13"/>
    <sheet name="Spendings" sheetId="12" state="visible" r:id="rId14"/>
    <sheet name="ROI" sheetId="13" state="visible" r:id="rId15"/>
    <sheet name="Conservative_Test" sheetId="14" state="visible" r:id="rId16"/>
    <sheet name="Dashboard" sheetId="15" state="visible" r:id="rId17"/>
    <sheet name="C_Pools" sheetId="16" state="visible" r:id="rId18"/>
    <sheet name="C_Benefits" sheetId="17" state="visible" r:id="rId19"/>
    <sheet name="C_Pricing_Income" sheetId="18" state="visible" r:id="rId20"/>
    <sheet name="C_Customer_ROI" sheetId="19" state="visible" r:id="rId21"/>
    <sheet name="C_Spendings" sheetId="20" state="visible" r:id="rId22"/>
    <sheet name="C_ROI" sheetId="21" state="visible" r:id="rId23"/>
    <sheet name="Change_Log_v3" sheetId="22" state="visible" r:id="rId24"/>
    <sheet name="Change_Log" sheetId="23" state="visible" r:id="rId25"/>
    <sheet name="References" sheetId="24" state="visible" r:id="rId2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<sst xmlns="http://schemas.openxmlformats.org/spreadsheetml/2006/main" count="3711" uniqueCount="1612">
  <si>
    <t xml:space="preserve">Township Green Loop – Executive Summary</t>
  </si>
  <si>
    <t xml:space="preserve">SDP University Hackathon 2026 · Theme: Planet · We run the platform; township developers pay to use it; residents invest in three green pools.</t>
  </si>
  <si>
    <t xml:space="preserve">Vendor (us, the platform)</t>
  </si>
  <si>
    <t xml:space="preserve">Vendor ROI (5-yr)</t>
  </si>
  <si>
    <t xml:space="preserve">Vendor net profit (5-yr)</t>
  </si>
  <si>
    <t xml:space="preserve">Vendor NPV</t>
  </si>
  <si>
    <t xml:space="preserve">Customer (township developers, all clients)</t>
  </si>
  <si>
    <t xml:space="preserve">Customer ROI (5-yr)</t>
  </si>
  <si>
    <t xml:space="preserve">Customer net profit (5-yr)</t>
  </si>
  <si>
    <t xml:space="preserve">Customer NPV</t>
  </si>
  <si>
    <t xml:space="preserve">Investor (resident) view: see the Investor_View sheet (minimum and maximum investment for each pool).</t>
  </si>
  <si>
    <t xml:space="preserve">Key takeaways</t>
  </si>
  <si>
    <t xml:space="preserve">•  SDP gains from Year 1 even on cash alone: Year 1 costs only a RM20,000 set-up instalment, and the JV passes a 1% fee on residents' solar money to SDP. Half of the community saving is guaranteed in the contract.</t>
  </si>
  <si>
    <t xml:space="preserve">•  Residents earn from Year 1 on solar and upgrades; EV is variable with a minimum-usage top-up.</t>
  </si>
  <si>
    <t xml:space="preserve">•  We lose money in Year 1 (covered by a RM120,000 grant) and earn from Year 2, even if only one new developer signs that year. See Conservative_Test.</t>
  </si>
  <si>
    <t xml:space="preserve">Core prices</t>
  </si>
  <si>
    <t xml:space="preserve">Normal vs conservative (live, from Conservative_Test)</t>
  </si>
  <si>
    <t xml:space="preserve">Check</t>
  </si>
  <si>
    <t xml:space="preserve">Normal</t>
  </si>
  <si>
    <t xml:space="preserve">Conservative</t>
  </si>
  <si>
    <t xml:space="preserve">1. Customer (SDP) net gain, Year 1</t>
  </si>
  <si>
    <t xml:space="preserve">2. Customer cash-only net gain, Year 1 (no community saving)</t>
  </si>
  <si>
    <t xml:space="preserve">2b. New developer net gain, its Year 1</t>
  </si>
  <si>
    <t xml:space="preserve">3. Residents' profit, Year 1 (all pools, SDP)</t>
  </si>
  <si>
    <t xml:space="preserve">4a. Solar investor return, Year 1</t>
  </si>
  <si>
    <t xml:space="preserve">4b. Upgrade investor return, Year 1</t>
  </si>
  <si>
    <t xml:space="preserve">4c. EV investor loss over the 7-year payback period</t>
  </si>
  <si>
    <t xml:space="preserve">5. Our net profit, Year 2</t>
  </si>
  <si>
    <t xml:space="preserve">6. Our net profit, 5 years</t>
  </si>
  <si>
    <t xml:space="preserve">7. NPV of our cash flows</t>
  </si>
  <si>
    <t xml:space="preserve">8. Lowest cash balance in 5 years (with grant)</t>
  </si>
  <si>
    <t xml:space="preserve">9. Our lowest yearly net profit, Years 2–5</t>
  </si>
  <si>
    <t xml:space="preserve">All checks</t>
  </si>
  <si>
    <t xml:space="preserve">Investor_View – what a resident gets from each pool, at the minimum and maximum investment</t>
  </si>
  <si>
    <t xml:space="preserve">All numbers link to Investor_ROI and Assumptions. Change the limits in Assumptions rows 96–101.</t>
  </si>
  <si>
    <t xml:space="preserve">Per resident</t>
  </si>
  <si>
    <t xml:space="preserve">Solar pool (low risk)</t>
  </si>
  <si>
    <t xml:space="preserve">Upgrade pool (medium risk)</t>
  </si>
  <si>
    <t xml:space="preserve">EV pool (high risk)</t>
  </si>
  <si>
    <t xml:space="preserve">Minimum</t>
  </si>
  <si>
    <t xml:space="preserve">Maximum</t>
  </si>
  <si>
    <t xml:space="preserve">Invest</t>
  </si>
  <si>
    <t xml:space="preserve">Investment rate (per year)</t>
  </si>
  <si>
    <t xml:space="preserve">Rate type</t>
  </si>
  <si>
    <t xml:space="preserve">Fixed payout backed by tenant power payments (not roof leasing); minimum 4.5%</t>
  </si>
  <si>
    <t xml:space="preserve">Fixed; installer guarantees shop savings</t>
  </si>
  <si>
    <t xml:space="preserve">Variable, not guaranteed; partners top up to 60 kWh/day (capped)</t>
  </si>
  <si>
    <t xml:space="preserve">Money paid back over</t>
  </si>
  <si>
    <t xml:space="preserve">Normal case</t>
  </si>
  <si>
    <t xml:space="preserve">Total received</t>
  </si>
  <si>
    <t xml:space="preserve">Return over the payback period (RM)</t>
  </si>
  <si>
    <t xml:space="preserve">Return over the payback period (%)</t>
  </si>
  <si>
    <t xml:space="preserve">Conservative case (Scenarios sheet)</t>
  </si>
  <si>
    <t xml:space="preserve">Effective rate (per year)</t>
  </si>
  <si>
    <t xml:space="preserve">• Payback period: solar 5 years, upgrades 3 years, EV 7 years. Returns are over each pool's own payback period. The return % is the same at the minimum and the maximum; only the RM amount changes.</t>
  </si>
  <si>
    <t xml:space="preserve">• Solar: residents are funders, not roof landlords. The developer/JV owns and runs the panels; tenants, malls and factories pay for the power, and residents' payouts are paid first. Different from SDP's CREAM roof-leasing project in Elmina.</t>
  </si>
  <si>
    <t xml:space="preserve">• Upgrades: paid back monthly over 3 years. Totals are after expected shop defaults and the bad-debt reserve.</t>
  </si>
  <si>
    <t xml:space="preserve">• EV: the thinnest pool. A licensed charge point operator (CPO) co-invests half and runs the chargers. Payouts come only from charging profit; the developer and platform take their 10% shares only after residents get their money back. If usage falls below 60 kWh/day, partners top up (capped at RM3,000 per charger a year). Price wars, cost rises and a refused government grant are NOT covered: in the conservative case residents get back only about 60% of their money.</t>
  </si>
  <si>
    <t xml:space="preserve">• Risk disclosure: none of the pools is a deposit and none is covered by PIDM. Money is held by a licensed platform, never by us. The maximum per pool stays within the RM5,000-per-company limit for retail investors [R24].</t>
  </si>
  <si>
    <t xml:space="preserve">Township Green Loop – Business Plan Assumptions</t>
  </si>
  <si>
    <t xml:space="preserve">Blue = input you can change · Yellow = key assumption to check · Black = formula · Green sections (rows 59–101) were added in v2; rows 102+ were added in v3 (EV rework, solar positioning). All money in RM.</t>
  </si>
  <si>
    <t xml:space="preserve">Input</t>
  </si>
  <si>
    <t xml:space="preserve">Value</t>
  </si>
  <si>
    <t xml:space="preserve">Unit</t>
  </si>
  <si>
    <t xml:space="preserve">Source / note</t>
  </si>
  <si>
    <t xml:space="preserve">General</t>
  </si>
  <si>
    <t xml:space="preserve">Model Year 1 (calendar year)</t>
  </si>
  <si>
    <t xml:space="preserve">year</t>
  </si>
  <si>
    <t xml:space="preserve">Platform goes live after the hackathon pilot.</t>
  </si>
  <si>
    <t xml:space="preserve">Average investment per resident</t>
  </si>
  <si>
    <t xml:space="preserve">RM</t>
  </si>
  <si>
    <t xml:space="preserve">Assumption. Each pool has its own minimum and maximum (Assumptions rows 96–101).</t>
  </si>
  <si>
    <t xml:space="preserve">Share of resident payouts spent at the developer's malls</t>
  </si>
  <si>
    <t xml:space="preserve">%</t>
  </si>
  <si>
    <t xml:space="preserve">Assumption. Not survey-validated.</t>
  </si>
  <si>
    <t xml:space="preserve">Mall redemption bonus (paid by participating shops as a promotion)</t>
  </si>
  <si>
    <t xml:space="preserve">Design choice. Shops fund it, so it costs the developer nothing.</t>
  </si>
  <si>
    <t xml:space="preserve">Turnover rent the mall earns on extra shop sales</t>
  </si>
  <si>
    <t xml:space="preserve">% of sales</t>
  </si>
  <si>
    <t xml:space="preserve">Example rate of 1% of gross sales on top of base rent: D&amp;H law firm [R13].</t>
  </si>
  <si>
    <t xml:space="preserve">Average electricity tariff</t>
  </si>
  <si>
    <t xml:space="preserve">RM/kWh</t>
  </si>
  <si>
    <t xml:space="preserve">Average base tariff 45.4 sen/kWh from July 2025 (HLIB via Business Today) [R8].</t>
  </si>
  <si>
    <t xml:space="preserve">Grid emission factor, Peninsular Malaysia 2024</t>
  </si>
  <si>
    <t xml:space="preserve">tCO2e/MWh</t>
  </si>
  <si>
    <t xml:space="preserve">Energy Commission, GEF 2022–2024 (provisional) [R9].</t>
  </si>
  <si>
    <t xml:space="preserve">SDP yearly spend on community programmes and spaces</t>
  </si>
  <si>
    <t xml:space="preserve">RM/yr</t>
  </si>
  <si>
    <t xml:space="preserve">SDP Integrated Report 2024 key highlights: 70,000+ beneficiaries, RM20.8 million total economic spend [R12].</t>
  </si>
  <si>
    <t xml:space="preserve">Share of solar funding saving kept by the developer</t>
  </si>
  <si>
    <t xml:space="preserve">Assumption. Solar assets sit in the SDP × GSPARX JV [R1]; the JV split was not found in public sources, so 50% is used.</t>
  </si>
  <si>
    <t xml:space="preserve">Pool 1 – Rooftop solar (residents fund it; the developer/JV owns and runs it – not roof leasing)</t>
  </si>
  <si>
    <t xml:space="preserve">Installed solar cost</t>
  </si>
  <si>
    <t xml:space="preserve">RM/kWp</t>
  </si>
  <si>
    <t xml:space="preserve">v3: 2,800 → 3,200 (commercial system incl. SST, structure and grid works). Prudent: one installer lists commercial 50–100 kWp from RM2,400/kWp before SST [R38]; the RM3,500–4,000 range in the brief was not confirmed.</t>
  </si>
  <si>
    <t xml:space="preserve">Solar output per kWp</t>
  </si>
  <si>
    <t xml:space="preserve">kWh/kWp/yr</t>
  </si>
  <si>
    <t xml:space="preserve">100 kWp commercial roof gives about 120,000–140,000 kWh a year (Trexon) [R5].</t>
  </si>
  <si>
    <t xml:space="preserve">Share of each solar asset funded by residents</t>
  </si>
  <si>
    <t xml:space="preserve">v3: links to row 111 (normal 30%); conservative uses row 112 (20%) through Scenarios. Team solar model: at 30%, tenant payments cover payouts 1.83 times [R20].</t>
  </si>
  <si>
    <t xml:space="preserve">Payout rate to residents (solar)</t>
  </si>
  <si>
    <t xml:space="preserve">% a year</t>
  </si>
  <si>
    <t xml:space="preserve">Team solar model. 12-month FD is about 1.9% (ABM, Aug 2026) [R11].</t>
  </si>
  <si>
    <t xml:space="preserve">Solar payout tenure</t>
  </si>
  <si>
    <t xml:space="preserve">years</t>
  </si>
  <si>
    <t xml:space="preserve">Team solar model.</t>
  </si>
  <si>
    <t xml:space="preserve">Return the JV would otherwise need on its own money</t>
  </si>
  <si>
    <t xml:space="preserve">Team solar model project IRR 8.5%; The Edge: mid to high single-digit IRR for solar PPAs [R6].</t>
  </si>
  <si>
    <t xml:space="preserve">Pool 2 – Shop energy upgrades</t>
  </si>
  <si>
    <t xml:space="preserve">Upgrade cost per shop</t>
  </si>
  <si>
    <t xml:space="preserve">Assumption (efficient air-con, fridges, LED). Get supplier quotes.</t>
  </si>
  <si>
    <t xml:space="preserve">Bill saving per shop</t>
  </si>
  <si>
    <t xml:space="preserve">RM/month</t>
  </si>
  <si>
    <t xml:space="preserve">Assumption: about 25% of a RM4,000 bill. Sunway Pyramid's chiller retrofit beat a 30% energy-cut target [R14].</t>
  </si>
  <si>
    <t xml:space="preserve">Share of savings used to repay residents</t>
  </si>
  <si>
    <t xml:space="preserve">Malaysian ESCO shared-savings cases use 80:20 and 75:25 (MAESCO) [R7].</t>
  </si>
  <si>
    <t xml:space="preserve">Payout rate to residents (upgrades)</t>
  </si>
  <si>
    <t xml:space="preserve">Design choice: higher than solar to reflect shop default risk.</t>
  </si>
  <si>
    <t xml:space="preserve">Upgrade payout tenure</t>
  </si>
  <si>
    <t xml:space="preserve">Design choice.</t>
  </si>
  <si>
    <t xml:space="preserve">Developer's share of the monthly safety margin</t>
  </si>
  <si>
    <t xml:space="preserve">Design choice. Other half kept as a bad-debt reserve.</t>
  </si>
  <si>
    <t xml:space="preserve">Pool 3 – EV charging (v3: DC 60 kW + AC 22 kW mix, run by a licensed charge point operator (CPO))</t>
  </si>
  <si>
    <t xml:space="preserve">Installed cost per charger, blended DC/AC mix (before grant)</t>
  </si>
  <si>
    <t xml:space="preserve">v3: formula = DC share × DC cost + AC share × AC cost (rows 115–117). Was 70,000 for one DC charger [R4].</t>
  </si>
  <si>
    <t xml:space="preserve">Share of each charger's net cost funded by residents</t>
  </si>
  <si>
    <t xml:space="preserve">Design choice. v3: the CPO partner co-invests the other 50% and runs the chargers (operations, maintenance, SLA, customer service).</t>
  </si>
  <si>
    <t xml:space="preserve">DC 60 kW standard charging price</t>
  </si>
  <si>
    <t xml:space="preserve">v3: 1.29 → 1.40. ChargEV AEON Mall Cheras Selatan: 60 kW DC RM1.40, 22 kW AC RM1.00, 180 kW DC RM1.60 (Jul 2026) [R25]. The brief cited AEON Rawang; the confirmed source is the Cheras Selatan site.</t>
  </si>
  <si>
    <t xml:space="preserve">Payment and app costs</t>
  </si>
  <si>
    <t xml:space="preserve">% of charging revenue</t>
  </si>
  <si>
    <t xml:space="preserve">v3: 10% → 3%. Payment gateway about 1.5–3% plus 1–2% app share (brief; typical gateway range, not separately sourced).</t>
  </si>
  <si>
    <t xml:space="preserve">DC 60 kW maintenance and CPO service fee</t>
  </si>
  <si>
    <t xml:space="preserve">v3: 5,000 → 10,000. US benchmark about US$1,800 a year for a DC fast charger (≈RM7,900) [R32]; 10,000 adds the CPO's SLA and customer service. The brief's '30% of capital a year' is not supported (10,000 is 10% of 100,000).</t>
  </si>
  <si>
    <t xml:space="preserve">Energy sold per charger per day</t>
  </si>
  <si>
    <t xml:space="preserve">kWh/day</t>
  </si>
  <si>
    <t xml:space="preserve">v3: 100 → formula = sessions × kWh per session (rows 105–106) = 60. Biggest EV risk: public chargers are mostly AC and utilisation is low [R31].</t>
  </si>
  <si>
    <t xml:space="preserve">Developer's share of residents' charging profit (site host)</t>
  </si>
  <si>
    <t xml:space="preserve">v3: value kept at 10%, but the split is now residents 70% (row 132), developer 10%, platform 10% (row 133), O&amp;M reserve 10% (row 134). Developer and platform shares wait until residents recover their money (row 135).</t>
  </si>
  <si>
    <t xml:space="preserve">Vendor pricing (what we charge each developer)</t>
  </si>
  <si>
    <t xml:space="preserve">Set-up fee (total, billed over client Years 1 and 2)</t>
  </si>
  <si>
    <t xml:space="preserve">v2: formula = Year 1 instalment + Year 2 instalment (rows 60–61).</t>
  </si>
  <si>
    <t xml:space="preserve">Annual platform fee (from client's second year)</t>
  </si>
  <si>
    <t xml:space="preserve">Our price for an SDP-size client (RM6,000 a month, billed monthly). Waived in the first year as a pilot. v2: smaller clients pay pro rata to size.</t>
  </si>
  <si>
    <t xml:space="preserve">Success fee on money raised through the platform</t>
  </si>
  <si>
    <t xml:space="preserve">% of raised</t>
  </si>
  <si>
    <t xml:space="preserve">Our price. Crowdfunding platforms also charge a success fee on amounts raised (pitchIN) [R15]. v2: waived in client Year 1 (row 62).</t>
  </si>
  <si>
    <t xml:space="preserve">Yearly fee on residents' money still invested</t>
  </si>
  <si>
    <t xml:space="preserve">Our price, from client's second year.</t>
  </si>
  <si>
    <t xml:space="preserve">Fee on mall redemptions (paid by shops)</t>
  </si>
  <si>
    <t xml:space="preserve">% of redemptions</t>
  </si>
  <si>
    <t xml:space="preserve">Our price.</t>
  </si>
  <si>
    <t xml:space="preserve">Vendor costs</t>
  </si>
  <si>
    <t xml:space="preserve">Founders on payroll</t>
  </si>
  <si>
    <t xml:space="preserve">people</t>
  </si>
  <si>
    <t xml:space="preserve">Lean team: product/tech lead + business lead.</t>
  </si>
  <si>
    <t xml:space="preserve">Founder salary</t>
  </si>
  <si>
    <t xml:space="preserve">Junior developer range RM3,000–5,500 a month (SecondTalent, Aug 2026) [R16].</t>
  </si>
  <si>
    <t xml:space="preserve">Employer EPF + SOCSO + EIS</t>
  </si>
  <si>
    <t xml:space="preserve">% of salary</t>
  </si>
  <si>
    <t xml:space="preserve">13% + 1.75% + 0.2% for wages up to RM5,000 (AJobThing, 2026) [R17].</t>
  </si>
  <si>
    <t xml:space="preserve">Contract developer, Year 1</t>
  </si>
  <si>
    <t xml:space="preserve">months</t>
  </si>
  <si>
    <t xml:space="preserve">Help build the first version.</t>
  </si>
  <si>
    <t xml:space="preserve">Contract / extra developer pay</t>
  </si>
  <si>
    <t xml:space="preserve">Mid-level range RM5,500–9,000 a month [R16].</t>
  </si>
  <si>
    <t xml:space="preserve">Supabase Pro per client</t>
  </si>
  <si>
    <t xml:space="preserve">USD/month</t>
  </si>
  <si>
    <t xml:space="preserve">US$25 per project a month (Automation Atlas, 2026) [R18].</t>
  </si>
  <si>
    <t xml:space="preserve">Vercel Pro per seat</t>
  </si>
  <si>
    <t xml:space="preserve">US$20 per seat a month (MakerKit, 2026) [R19].</t>
  </si>
  <si>
    <t xml:space="preserve">Vercel seats</t>
  </si>
  <si>
    <t xml:space="preserve">seats</t>
  </si>
  <si>
    <t xml:space="preserve">USD to RM</t>
  </si>
  <si>
    <t xml:space="preserve">RM per USD</t>
  </si>
  <si>
    <t xml:space="preserve">Approximate rate; check before use.</t>
  </si>
  <si>
    <t xml:space="preserve">Security testing, Year 1</t>
  </si>
  <si>
    <t xml:space="preserve">Assumption (penetration test before handling investor data).</t>
  </si>
  <si>
    <t xml:space="preserve">Security testing, later years</t>
  </si>
  <si>
    <t xml:space="preserve">Assumption.</t>
  </si>
  <si>
    <t xml:space="preserve">Legal, PDPA and partner agreements, Year 1</t>
  </si>
  <si>
    <t xml:space="preserve">Assumption (licensed platform and developer contracts).</t>
  </si>
  <si>
    <t xml:space="preserve">Legal and compliance, later years</t>
  </si>
  <si>
    <t xml:space="preserve">Sales and onboarding per new client</t>
  </si>
  <si>
    <t xml:space="preserve">Assumption. v2: used for Year 1 only; later years use row 82.</t>
  </si>
  <si>
    <t xml:space="preserve">Discount rate for NPV</t>
  </si>
  <si>
    <t xml:space="preserve">Common range for early-stage tech ventures is 15–20%.</t>
  </si>
  <si>
    <t xml:space="preserve">v2 – Launch terms (customer must gain in Year 1)</t>
  </si>
  <si>
    <t xml:space="preserve">Set-up fee, Year 1 instalment (50% at signing)</t>
  </si>
  <si>
    <t xml:space="preserve">v2. Split set-up fee so the client pays less in Year 1. Price for an SDP-size client; smaller clients pay pro rata.</t>
  </si>
  <si>
    <t xml:space="preserve">Set-up fee, Year 2 instalment (at go-live of full rollout)</t>
  </si>
  <si>
    <t xml:space="preserve">v2.</t>
  </si>
  <si>
    <t xml:space="preserve">Success-fee discount in client Year 1</t>
  </si>
  <si>
    <t xml:space="preserve">% off</t>
  </si>
  <si>
    <t xml:space="preserve">v2. 100% = waived in Year 1, in exchange for a signed Year 2 platform-fee commitment.</t>
  </si>
  <si>
    <t xml:space="preserve">v2 – Community-saving guarantee (makes benefit E contractual)</t>
  </si>
  <si>
    <t xml:space="preserve">Community saving actually achieved (vs expected)</t>
  </si>
  <si>
    <t xml:space="preserve">v2. Normal case 100%. Conservative test sets this to 0%.</t>
  </si>
  <si>
    <t xml:space="preserve">Saving we guarantee in the contract (share of expected)</t>
  </si>
  <si>
    <t xml:space="preserve">v2. We only promise half of the expected saving.</t>
  </si>
  <si>
    <t xml:space="preserve">Share of any shortfall we credit back to the developer</t>
  </si>
  <si>
    <t xml:space="preserve">v2. Credit against our fees.</t>
  </si>
  <si>
    <t xml:space="preserve">Credit cap in client Year 1 (share of that year's fees)</t>
  </si>
  <si>
    <t xml:space="preserve">v2. In Year 1 the credit can cancel all fees.</t>
  </si>
  <si>
    <t xml:space="preserve">Credit cap from client Year 2 (share of that year's fees)</t>
  </si>
  <si>
    <t xml:space="preserve">v2. Limits our downside.</t>
  </si>
  <si>
    <t xml:space="preserve">v2 – Investor protection</t>
  </si>
  <si>
    <t xml:space="preserve">JV arrangement fee passed to the developer</t>
  </si>
  <si>
    <t xml:space="preserve">% a year of residents' solar money</t>
  </si>
  <si>
    <t xml:space="preserve">v2. JV shares part of its funding saving (8.5% − 5% = 3.5%) with the developer that brings the residents. To negotiate.</t>
  </si>
  <si>
    <t xml:space="preserve">Solar minimum payout rate (floor)</t>
  </si>
  <si>
    <t xml:space="preserve">v2. Backed by the JV saving above; contract rate stays 5%.</t>
  </si>
  <si>
    <t xml:space="preserve">Guaranteed minimum saving per shop (installer contract)</t>
  </si>
  <si>
    <t xml:space="preserve">v2. ESCO contracts can include a minimum-savings clause where the ESCO covers the shortfall (Trexon ESCO guide) [R21].</t>
  </si>
  <si>
    <t xml:space="preserve">Shop default rate</t>
  </si>
  <si>
    <t xml:space="preserve">v2. Assumption. Conservative test uses 10%.</t>
  </si>
  <si>
    <t xml:space="preserve">Loss when a shop defaults (after deposit and equipment recovery)</t>
  </si>
  <si>
    <t xml:space="preserve">% of upgrade cost</t>
  </si>
  <si>
    <t xml:space="preserve">v2. Assumption: SDP holds tenant deposits.</t>
  </si>
  <si>
    <t xml:space="preserve">EV minimum usage topped up to</t>
  </si>
  <si>
    <t xml:space="preserve">kWh/day/charger</t>
  </si>
  <si>
    <t xml:space="preserve">v3: 80 → 60 (= normal usage, so no top-up in the normal case). If a charger sells less, partners pay residents for the missing kWh at the normal contract margin, up to the yearly cap (row 140).</t>
  </si>
  <si>
    <t xml:space="preserve">Share of the top-up paid by the developer</t>
  </si>
  <si>
    <t xml:space="preserve">v3: 100% → 33%. Platform pays 33% (row 138), CPO pays 34% (row 139, it also covers its own downtime).</t>
  </si>
  <si>
    <t xml:space="preserve">v2 – New income lines (paid by shops or from certificate sales, not by the developer)</t>
  </si>
  <si>
    <t xml:space="preserve">Renewable energy certificate (REC) price</t>
  </si>
  <si>
    <t xml:space="preserve">USD/MWh</t>
  </si>
  <si>
    <t xml:space="preserve">v2. Malaysian solar I-REC, US$3.45/MWh, 24 Apr 2026 (S&amp;P Global Platts) [R22].</t>
  </si>
  <si>
    <t xml:space="preserve">Our REC registration and sales service fee</t>
  </si>
  <si>
    <t xml:space="preserve">% of REC sales</t>
  </si>
  <si>
    <t xml:space="preserve">v2. Our price.</t>
  </si>
  <si>
    <t xml:space="preserve">Shops buying featured offers in the rewards catalogue</t>
  </si>
  <si>
    <t xml:space="preserve">shops per SDP-size client</t>
  </si>
  <si>
    <t xml:space="preserve">v2. Assumption.</t>
  </si>
  <si>
    <t xml:space="preserve">Featured-offer fee</t>
  </si>
  <si>
    <t xml:space="preserve">RM/month per shop</t>
  </si>
  <si>
    <t xml:space="preserve">Energy dashboard subscription for upgraded shops</t>
  </si>
  <si>
    <t xml:space="preserve">v2. Our price. Shops track their savings.</t>
  </si>
  <si>
    <t xml:space="preserve">v2 – Our cost and cash plan</t>
  </si>
  <si>
    <t xml:space="preserve">Founders' pay taken in cash in Year 1</t>
  </si>
  <si>
    <t xml:space="preserve">v2. Rest taken as equity (non-cash).</t>
  </si>
  <si>
    <t xml:space="preserve">Contract developer paid in cash</t>
  </si>
  <si>
    <t xml:space="preserve">% of pay</t>
  </si>
  <si>
    <t xml:space="preserve">v2. Rest paid in equity.</t>
  </si>
  <si>
    <t xml:space="preserve">Onboarding per new client after Year 1 (standardised)</t>
  </si>
  <si>
    <t xml:space="preserve">v2. Standard playbook lowers the cost.</t>
  </si>
  <si>
    <t xml:space="preserve">Year 1 grant / pre-seed funding</t>
  </si>
  <si>
    <t xml:space="preserve">v2. Covers the Year 1 loss. Cradle CIP Spark offers up to RM150,000 (conditional grant) [R23].</t>
  </si>
  <si>
    <t xml:space="preserve">v2 – Solar cover check (from team solar model)</t>
  </si>
  <si>
    <t xml:space="preserve">Tenant's avoided grid rate</t>
  </si>
  <si>
    <t xml:space="preserve">Team solar model [R20].</t>
  </si>
  <si>
    <t xml:space="preserve">PPA discount vs grid</t>
  </si>
  <si>
    <t xml:space="preserve">About 15% cheaper than tariffs (The Edge) [R6].</t>
  </si>
  <si>
    <t xml:space="preserve">Solar O&amp;M</t>
  </si>
  <si>
    <t xml:space="preserve">% of capex a year</t>
  </si>
  <si>
    <t xml:space="preserve">Solar insurance</t>
  </si>
  <si>
    <t xml:space="preserve">Asset management fee on solar revenue</t>
  </si>
  <si>
    <t xml:space="preserve">% of revenue</t>
  </si>
  <si>
    <t xml:space="preserve">v2 – Investment example and limits per resident</t>
  </si>
  <si>
    <t xml:space="preserve">Example investment per resident (Investor_ROI 5-year view)</t>
  </si>
  <si>
    <t xml:space="preserve">Illustration only.</t>
  </si>
  <si>
    <t xml:space="preserve">Solar pool: minimum investment</t>
  </si>
  <si>
    <t xml:space="preserve">Low entry so more residents can join (inclusivity).</t>
  </si>
  <si>
    <t xml:space="preserve">Solar pool: maximum investment</t>
  </si>
  <si>
    <t xml:space="preserve">Retail investors may put up to RM5,000 into one issuer under SC equity crowdfunding rules [R24]; each pool is a separate issuer.</t>
  </si>
  <si>
    <t xml:space="preserve">Upgrade pool: minimum investment</t>
  </si>
  <si>
    <t xml:space="preserve">Same entry level for all pools.</t>
  </si>
  <si>
    <t xml:space="preserve">Upgrade pool: maximum investment</t>
  </si>
  <si>
    <t xml:space="preserve">Assumption: lower than solar because shop default risk is higher.</t>
  </si>
  <si>
    <t xml:space="preserve">EV pool: minimum investment</t>
  </si>
  <si>
    <t xml:space="preserve">EV pool: maximum investment</t>
  </si>
  <si>
    <t xml:space="preserve">Assumption: smallest cap because capital is not guaranteed and the expected return is the lowest for its risk (see EV_Pilot).</t>
  </si>
  <si>
    <t xml:space="preserve">EV electricity cost, all-in (energy + capacity + network)</t>
  </si>
  <si>
    <t xml:space="preserve">v3. Formula = rows 130 + 103 + 131 = 27.03 + 8.83 + 14.82 sen = 50.7 sen/kWh, low-voltage non-domestic tariff from July 2025 [R28]. AFA surcharge not included (tested by the +20% stress).</t>
  </si>
  <si>
    <t xml:space="preserve">of which capacity charge</t>
  </si>
  <si>
    <t xml:space="preserve">v3. The brief listed this as a demand charge of RM8.83/kW a month. The July 2025 low-voltage tariff charges 8.83 sen per kWh and it is already inside row 102, so it is NOT added again [R28]. A mall on the medium-voltage tariff pays a maximum-demand charge instead: see row 141 and the EV_Pilot sensitivity.</t>
  </si>
  <si>
    <t xml:space="preserve">MARii EVCS grant (DC chargers only)</t>
  </si>
  <si>
    <t xml:space="preserve">% of unit cost</t>
  </si>
  <si>
    <t xml:space="preserve">v3. MARii EVCS Development Programme: matching grant up to 50% per charging unit, max RM50,000 per unit and RM500,000 per company; aimed mainly at automotive players, especially Bumiputera companies [R26]. The CPO partner applies, not us. Conservative case assumes it is NOT approved.</t>
  </si>
  <si>
    <t xml:space="preserve">Charging sessions per charger per day (normal)</t>
  </si>
  <si>
    <t xml:space="preserve">sessions/day</t>
  </si>
  <si>
    <t xml:space="preserve">v3. Assumption from the brief; utilisation of Malaysian public chargers is low [R31]. Conservative: 1.5 (Scenarios).</t>
  </si>
  <si>
    <t xml:space="preserve">Average energy per session (normal)</t>
  </si>
  <si>
    <t xml:space="preserve">kWh/session</t>
  </si>
  <si>
    <t xml:space="preserve">v3. Assumption from the brief. Conservative: 20 (Scenarios).</t>
  </si>
  <si>
    <t xml:space="preserve">Regulatory compliance cost per site (one-off)</t>
  </si>
  <si>
    <t xml:space="preserve">RM/site</t>
  </si>
  <si>
    <t xml:space="preserve">v3. Assumption from the brief: approved equipment, Energy Commission EVCS guideline (2025 edition: installation standards, competent persons, preventive maintenance) [R30], local council approval. Spread over chargers per site (row 128).</t>
  </si>
  <si>
    <t xml:space="preserve">Yearly compliance audit per site</t>
  </si>
  <si>
    <t xml:space="preserve">RM/yr/site</t>
  </si>
  <si>
    <t xml:space="preserve">v3. Assumption from the brief. The guideline number GP/ST/No. 54/2025 in the brief could not be confirmed.</t>
  </si>
  <si>
    <t xml:space="preserve">Solar asset operating model</t>
  </si>
  <si>
    <t xml:space="preserve">JV owns &amp; runs</t>
  </si>
  <si>
    <t xml:space="preserve">text</t>
  </si>
  <si>
    <t xml:space="preserve">v3. Residents' money is pooled by the platform; the asset is owned and operated by the developer / SDP × GSPARX JV. Income: tenants, malls and factories pay for the power, and residents' payouts are paid first. Not CREAM roof leasing, not Solar ATAP self-use [R36][R37].</t>
  </si>
  <si>
    <t xml:space="preserve">CREAM community access charge (only if power is sold through the grid)</t>
  </si>
  <si>
    <t xml:space="preserve">v3. Cut from 15 to 9 sen/kWh [R35]. Not applied in the base case: our solar power is sold on site, so no grid access charge. Shown so judges see we know the difference from SDP's CREAM project.</t>
  </si>
  <si>
    <t xml:space="preserve">Residents' share of each solar asset (normal)</t>
  </si>
  <si>
    <t xml:space="preserve">v3. Unchanged from v2 (row 18 links here).</t>
  </si>
  <si>
    <t xml:space="preserve">Residents' share of each solar asset (conservative)</t>
  </si>
  <si>
    <t xml:space="preserve">v3. Used by Scenarios. Smaller share = less money raised, payouts better covered.</t>
  </si>
  <si>
    <t xml:space="preserve">Ownership statement for investors</t>
  </si>
  <si>
    <t xml:space="preserve">Payouts first</t>
  </si>
  <si>
    <t xml:space="preserve">v3. The asset funded by residents' money is run by the developer/JV, and power income pays residents' payouts before anything else. Residents earn a return on money, not rent for roof space.</t>
  </si>
  <si>
    <t xml:space="preserve">v3 – EV detail: charger mix, prices, costs, profit split and top-up (used by EV_Pilot)</t>
  </si>
  <si>
    <t xml:space="preserve">Share of chargers that are DC 60 kW</t>
  </si>
  <si>
    <t xml:space="preserve">v3. Pilot site = 1 DC 60 kW (mall visitors) + 1 AC 22 kW (residents and staff at night).</t>
  </si>
  <si>
    <t xml:space="preserve">DC 60 kW installed cost</t>
  </si>
  <si>
    <t xml:space="preserve">v3. From the brief: includes grid upgrade, transformer share, civil works, TNB application and permits. Hardware and install alone are RM60,000–80,000 [R4].</t>
  </si>
  <si>
    <t xml:space="preserve">AC 22 kW installed cost</t>
  </si>
  <si>
    <t xml:space="preserve">v3. From the brief.</t>
  </si>
  <si>
    <t xml:space="preserve">AC 22 kW standard charging price</t>
  </si>
  <si>
    <t xml:space="preserve">v3. ChargEV AEON Mall Cheras Selatan 22 kW AC RM1.00 [R25]; Gentari AC RM1.00–1.15 [R27].</t>
  </si>
  <si>
    <t xml:space="preserve">DC peak-hour price</t>
  </si>
  <si>
    <t xml:space="preserve">v3. Within the brief's RM1.50–1.80 peak range; Gentari DC is RM1.60–1.80 [R27].</t>
  </si>
  <si>
    <t xml:space="preserve">Share of DC energy sold at peak price</t>
  </si>
  <si>
    <t xml:space="preserve">v3. Assumption (weekend and evening mall visits).</t>
  </si>
  <si>
    <t xml:space="preserve">AC off-peak price (residents' overnight plan)</t>
  </si>
  <si>
    <t xml:space="preserve">v3. Within the brief's RM0.90–1.10 off-peak range; Gentari is trialling RM1.36 off-peak for DC [R27].</t>
  </si>
  <si>
    <t xml:space="preserve">Share of AC energy sold at off-peak price</t>
  </si>
  <si>
    <t xml:space="preserve">v3. Assumption.</t>
  </si>
  <si>
    <t xml:space="preserve">Idle (occupancy) fee</t>
  </si>
  <si>
    <t xml:space="preserve">RM/min</t>
  </si>
  <si>
    <t xml:space="preserve">v3. Gentari charges RM0.40/min after a 15-minute grace period [R27].</t>
  </si>
  <si>
    <t xml:space="preserve">Billed idle minutes per charger per day (normal)</t>
  </si>
  <si>
    <t xml:space="preserve">min/day</t>
  </si>
  <si>
    <t xml:space="preserve">v3. Assumption, not market data. Conservative: 5.</t>
  </si>
  <si>
    <t xml:space="preserve">Resident EV membership fee</t>
  </si>
  <si>
    <t xml:space="preserve">v3. Our design (gives the off-peak AC plan). Not market data.</t>
  </si>
  <si>
    <t xml:space="preserve">Paying members per charger (normal)</t>
  </si>
  <si>
    <t xml:space="preserve">members</t>
  </si>
  <si>
    <t xml:space="preserve">AC 22 kW maintenance and CPO service fee</t>
  </si>
  <si>
    <t xml:space="preserve">v3. From the brief. US benchmark about US$400 a year for a Level 2 charger [R32]; 3,000 includes the CPO's service.</t>
  </si>
  <si>
    <t xml:space="preserve">Chargers per site</t>
  </si>
  <si>
    <t xml:space="preserve">chargers</t>
  </si>
  <si>
    <t xml:space="preserve">v3. Pilot site: 1 DC + 1 AC. Site costs (rows 107–108) are shared.</t>
  </si>
  <si>
    <t xml:space="preserve">MARii grant cap per charging unit</t>
  </si>
  <si>
    <t xml:space="preserve">v3 [R26].</t>
  </si>
  <si>
    <t xml:space="preserve">Energy charge (LV non-domestic)</t>
  </si>
  <si>
    <t xml:space="preserve">v3 [R28].</t>
  </si>
  <si>
    <t xml:space="preserve">Network charge (LV non-domestic)</t>
  </si>
  <si>
    <t xml:space="preserve">Residents' part of residents' charging profit</t>
  </si>
  <si>
    <t xml:space="preserve">v3 split from the brief: residents 70%, developer 10% (row 36), platform 10%, O&amp;M reserve 10%.</t>
  </si>
  <si>
    <t xml:space="preserve">Platform's part of residents' charging profit</t>
  </si>
  <si>
    <t xml:space="preserve">v3.</t>
  </si>
  <si>
    <t xml:space="preserve">O&amp;M reserve part of residents' charging profit</t>
  </si>
  <si>
    <t xml:space="preserve">v3. Held by the CPO for repairs and downtime; unused reserve goes back to residents at the end (row 136).</t>
  </si>
  <si>
    <t xml:space="preserve">Developer and platform shares wait until residents get their money back (1 = yes)</t>
  </si>
  <si>
    <t xml:space="preserve">switch</t>
  </si>
  <si>
    <t xml:space="preserve">v3 minimum fix. With the 70% split from day 1, the normal 7-year EV return is about 1% a year (EV_Pilot column L). Deferring the two 10% shares lifts it to about 7%.</t>
  </si>
  <si>
    <t xml:space="preserve">Share of the O&amp;M reserve returned to residents at the end</t>
  </si>
  <si>
    <t xml:space="preserve">v3. Assumption: half is used on repairs.</t>
  </si>
  <si>
    <t xml:space="preserve">EV payback period</t>
  </si>
  <si>
    <t xml:space="preserve">v3: 5 → 7 years. Malaysian charger payback is often 5–8 years (brief); EV_Pilot shows about 5 years for the whole charger in the normal case.</t>
  </si>
  <si>
    <t xml:space="preserve">Share of the top-up paid by the platform (us)</t>
  </si>
  <si>
    <t xml:space="preserve">Share of the top-up paid by the CPO</t>
  </si>
  <si>
    <t xml:space="preserve">v3. Formula = 1 − developer − platform.</t>
  </si>
  <si>
    <t xml:space="preserve">Top-up cap per charger per year (all partners together)</t>
  </si>
  <si>
    <t xml:space="preserve">v3. Smallest round cap that keeps the conservative EV loss under 50% when the grant is not approved (needs at least RM2,500).</t>
  </si>
  <si>
    <t xml:space="preserve">Maximum-demand charge if the site is on the medium-voltage tariff</t>
  </si>
  <si>
    <t xml:space="preserve">RM/kW/month</t>
  </si>
  <si>
    <t xml:space="preserve">v3. MV General: capacity RM29.43 + network RM59.84 per kW (RP4) [R29]. Sensitivity only.</t>
  </si>
  <si>
    <t xml:space="preserve">kW a charger adds to the mall's monthly peak (if not load-managed)</t>
  </si>
  <si>
    <t xml:space="preserve">kW</t>
  </si>
  <si>
    <t xml:space="preserve">v3. Assumption for the sensitivity only; load management should keep this near zero.</t>
  </si>
  <si>
    <t xml:space="preserve">v3 – Funding and incentives (information; only the MARii grant and the Cradle grant enter the numbers)</t>
  </si>
  <si>
    <t xml:space="preserve">Green Investment Tax Allowance (GITA) for charge point operators</t>
  </si>
  <si>
    <t xml:space="preserve">CPO benefit</t>
  </si>
  <si>
    <t xml:space="preserve">100% investment tax allowance for 5 years for qualifying CPOs [R33]. Helps the CPO partner; not modelled for us.</t>
  </si>
  <si>
    <t xml:space="preserve">Income tax exemption for EV charging equipment makers</t>
  </si>
  <si>
    <t xml:space="preserve">Not for us</t>
  </si>
  <si>
    <t xml:space="preserve">Full exemption on statutory income 2023–2032 for companies that manufacture EV charging equipment [R33]. We do not manufacture.</t>
  </si>
  <si>
    <t xml:space="preserve">Individual tax relief for EV charging facilities</t>
  </si>
  <si>
    <t xml:space="preserve">Residents</t>
  </si>
  <si>
    <t xml:space="preserve">Up to RM2,500 a year for residents installing home chargers [R34]. Useful marketing point; not in our numbers.</t>
  </si>
  <si>
    <t xml:space="preserve">Yearly inputs</t>
  </si>
  <si>
    <t xml:space="preserve">Blue = input · Yellow = key assumption. Pool numbers are per client, by the client's year on the platform.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</si>
  <si>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</si>
  <si>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</si>
  <si>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</si>
  <si>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</si>
  <si>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</si>
  <si>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New solar capacity with a resident share, per client</t>
  </si>
  <si>
    <t xml:space="preserve">MW</t>
  </si>
  <si>
    <t xml:space="preserve">By the client's year on the platform. Reaches 20 MW in 5 years, in line with the SDP × GSPARX JV target of 20 MW in 5 years [R1].</t>
  </si>
  <si>
    <t xml:space="preserve">New shops upgraded, per client</t>
  </si>
  <si>
    <t xml:space="preserve">shops</t>
  </si>
  <si>
    <t xml:space="preserve">By the client's year. SDP's 3 malls have about 380 outlets [R2][R3]; only high-energy, low-risk shops qualify (v2: highest-saving shops first).</t>
  </si>
  <si>
    <t xml:space="preserve">New EV chargers, per client</t>
  </si>
  <si>
    <t xml:space="preserve">By the client's year. v3: 2,4,4,4,4 → 1,2,2,2,2. Start with a 1–2 charger pilot and expand only after 12 months of usage data. High-traffic sites only.</t>
  </si>
  <si>
    <t xml:space="preserve">Community-programme saving from digital sign-ups, QR check-ins and auto reports</t>
  </si>
  <si>
    <t xml:space="preserve">% of programme spend</t>
  </si>
  <si>
    <t xml:space="preserve">Assumption, half in the first year. v2: half of this is guaranteed in the contract (Assumptions rows 64–68).</t>
  </si>
  <si>
    <t xml:space="preserve">New developer clients signed (calendar year)</t>
  </si>
  <si>
    <t xml:space="preserve">clients</t>
  </si>
  <si>
    <t xml:space="preserve">Y1 = SDP. Later: other township developers. v2: sign letters of intent in Year 1 for Year 2 clients.</t>
  </si>
  <si>
    <t xml:space="preserve">Size of clients joining this year vs SDP</t>
  </si>
  <si>
    <t xml:space="preserve">x SDP</t>
  </si>
  <si>
    <t xml:space="preserve">Assumption: later clients are 60% of SDP's size.</t>
  </si>
  <si>
    <t xml:space="preserve">Extra developers on payroll (calendar year)</t>
  </si>
  <si>
    <t xml:space="preserve">Hire only once revenue allows.</t>
  </si>
  <si>
    <t xml:space="preserve">Part-time support and operations (calendar year)</t>
  </si>
  <si>
    <t xml:space="preserve">Scenarios – conservative stress inputs</t>
  </si>
  <si>
    <t xml:space="preserve">Normal values link to Assumptions / Yearly_Inputs. Change the blue Conservative values to re-run the C_ sheets and Conservative_Test.</t>
  </si>
  <si>
    <t xml:space="preserve">Stressed input</t>
  </si>
  <si>
    <t xml:space="preserve">Change</t>
  </si>
  <si>
    <t xml:space="preserve">Why</t>
  </si>
  <si>
    <t xml:space="preserve">Community saving actually achieved</t>
  </si>
  <si>
    <t xml:space="preserve">Benefit E fails completely.</t>
  </si>
  <si>
    <t xml:space="preserve">EV energy sold per charger per day (kWh) = sessions × kWh per session</t>
  </si>
  <si>
    <t xml:space="preserve">v3: 30 kWh/day (was 50). Formula from rows 15–16.</t>
  </si>
  <si>
    <t xml:space="preserve">Bill saving per shop (RM/month)</t>
  </si>
  <si>
    <t xml:space="preserve">Upgrades save half as much.</t>
  </si>
  <si>
    <t xml:space="preserve">New developer clients signed in Year 2</t>
  </si>
  <si>
    <t xml:space="preserve">Only one new client in Year 2.</t>
  </si>
  <si>
    <t xml:space="preserve">Developer's share of solar funding saving</t>
  </si>
  <si>
    <t xml:space="preserve">Weaker JV terms.</t>
  </si>
  <si>
    <t xml:space="preserve">Higher required return.</t>
  </si>
  <si>
    <t xml:space="preserve">Competitor price drop (all charging prices)</t>
  </si>
  <si>
    <t xml:space="preserve">v3: 10% → 20%. Price war.</t>
  </si>
  <si>
    <t xml:space="preserve">Size of new clients vs SDP (Years 2–5)</t>
  </si>
  <si>
    <t xml:space="preserve">Smaller developers sign up.</t>
  </si>
  <si>
    <t xml:space="preserve">Shop default rate (a year)</t>
  </si>
  <si>
    <t xml:space="preserve">Five times more shop defaults.</t>
  </si>
  <si>
    <t xml:space="preserve">Extra developers hired in Year 3 (our response, not a stress)</t>
  </si>
  <si>
    <t xml:space="preserve">Delay the hire when fewer clients sign.</t>
  </si>
  <si>
    <t xml:space="preserve">v3 EV: charging sessions per charger per day</t>
  </si>
  <si>
    <t xml:space="preserve">Brief said 1 session × 20 kWh, but also 30 kWh/day; 1.5 × 20 keeps both the 20 kWh and the 30 kWh/day.</t>
  </si>
  <si>
    <t xml:space="preserve">v3 EV: average kWh per session</t>
  </si>
  <si>
    <t xml:space="preserve">Smaller top-ups.</t>
  </si>
  <si>
    <t xml:space="preserve">v3 EV: electricity cost increase</t>
  </si>
  <si>
    <t xml:space="preserve">Tariff or AFA surcharge up 20%.</t>
  </si>
  <si>
    <t xml:space="preserve">v3 EV: maintenance cost increase</t>
  </si>
  <si>
    <t xml:space="preserve">Repairs and parts 50% dearer.</t>
  </si>
  <si>
    <t xml:space="preserve">v3 EV: charger downtime</t>
  </si>
  <si>
    <t xml:space="preserve">Chargers out of service 10% of the time.</t>
  </si>
  <si>
    <t xml:space="preserve">v3 EV: MARii grant approved (1 = yes, 0 = no)</t>
  </si>
  <si>
    <t xml:space="preserve">Grant not approved; residents and CPO fund the full DC cost.</t>
  </si>
  <si>
    <t xml:space="preserve">v3 EV: billed idle minutes per charger per day</t>
  </si>
  <si>
    <t xml:space="preserve">Half the idle-fee income.</t>
  </si>
  <si>
    <t xml:space="preserve">v3 EV: paying members per charger</t>
  </si>
  <si>
    <t xml:space="preserve">Half the membership income.</t>
  </si>
  <si>
    <t xml:space="preserve">v3 Solar: residents' share of each solar asset</t>
  </si>
  <si>
    <t xml:space="preserve">Assumptions row 112.</t>
  </si>
  <si>
    <t xml:space="preserve">Charging price after drop (RM/kWh)</t>
  </si>
  <si>
    <t xml:space="preserve">Pools – what happens inside one client (SDP size), by the client's year on the platform</t>
  </si>
  <si>
    <t xml:space="preserve">Money raised from residents, money still invested, payouts and impact for the three pools. Other clients are scaled from this.</t>
  </si>
  <si>
    <t xml:space="preserve">Item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</si>
  <si>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</si>
  <si>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</si>
  <si>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</si>
  <si>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</si>
  <si>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</si>
  <si>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Timing factors (money is raised mid-year on average)</t>
  </si>
  <si>
    <t xml:space="preserve">Year since money was raised</t>
  </si>
  <si>
    <t xml:space="preserve">Solar: share of money still owed at year end</t>
  </si>
  <si>
    <t xml:space="preserve">Solar: average share still invested</t>
  </si>
  <si>
    <t xml:space="preserve">Payout timing (half year in first year)</t>
  </si>
  <si>
    <t xml:space="preserve">Upgrades: share still owed at year end</t>
  </si>
  <si>
    <t xml:space="preserve">Upgrades: average share still invested</t>
  </si>
  <si>
    <t xml:space="preserve">Upgrades: share of year a shop is repaying</t>
  </si>
  <si>
    <t xml:space="preserve">EV: average share still invested (paid back evenly over the EV payback period)</t>
  </si>
  <si>
    <t xml:space="preserve">EV: share of money paid back in the year</t>
  </si>
  <si>
    <t xml:space="preserve">Pool 1 – Rooftop solar</t>
  </si>
  <si>
    <t xml:space="preserve">New solar capacity with resident share</t>
  </si>
  <si>
    <t xml:space="preserve">Money raised from residents</t>
  </si>
  <si>
    <t xml:space="preserve">Residents' money still invested (average)</t>
  </si>
  <si>
    <t xml:space="preserve">Yearly payment per RM1 raised</t>
  </si>
  <si>
    <t xml:space="preserve">factor</t>
  </si>
  <si>
    <t xml:space="preserve">Payouts to residents</t>
  </si>
  <si>
    <t xml:space="preserve">Solar capacity running (average)</t>
  </si>
  <si>
    <t xml:space="preserve">Solar power produced</t>
  </si>
  <si>
    <t xml:space="preserve">MWh</t>
  </si>
  <si>
    <t xml:space="preserve">CO2 avoided by solar</t>
  </si>
  <si>
    <t xml:space="preserve">tCO2e</t>
  </si>
  <si>
    <t xml:space="preserve">New shops upgraded</t>
  </si>
  <si>
    <t xml:space="preserve">Shops repaying (shop-years)</t>
  </si>
  <si>
    <t xml:space="preserve">shop-yrs</t>
  </si>
  <si>
    <t xml:space="preserve">Yearly payout per shop to residents</t>
  </si>
  <si>
    <t xml:space="preserve">Safety margin per shop-year (repayment counted − payout)</t>
  </si>
  <si>
    <t xml:space="preserve">Savings shops keep</t>
  </si>
  <si>
    <t xml:space="preserve">Electricity saved</t>
  </si>
  <si>
    <t xml:space="preserve">CO2 avoided by upgrades</t>
  </si>
  <si>
    <t xml:space="preserve">Pool 3 – EV charging</t>
  </si>
  <si>
    <t xml:space="preserve">New EV chargers</t>
  </si>
  <si>
    <t xml:space="preserve">Money raised from residents (net cost after grant × residents' share)</t>
  </si>
  <si>
    <t xml:space="preserve">Chargers running (charger-years)</t>
  </si>
  <si>
    <t xml:space="preserve">chg-yrs</t>
  </si>
  <si>
    <t xml:space="preserve">Net charging profit per charger-year (blended DC/AC, from EV_Pilot)</t>
  </si>
  <si>
    <t xml:space="preserve">Residents' share of charging profit (their 50%, before the 70/10/10/10 split)</t>
  </si>
  <si>
    <t xml:space="preserve">Payouts to residents (incl. usage top-up)</t>
  </si>
  <si>
    <t xml:space="preserve">Residents' EV money paid back</t>
  </si>
  <si>
    <t xml:space="preserve">All pools – totals for one SDP-size client</t>
  </si>
  <si>
    <t xml:space="preserve">Spent at the developer's malls (incl. bonus)</t>
  </si>
  <si>
    <t xml:space="preserve">Resident investments made (count, at average ticket)</t>
  </si>
  <si>
    <t xml:space="preserve">count</t>
  </si>
  <si>
    <t xml:space="preserve">Residents' profit earned (after expected shop losses)</t>
  </si>
  <si>
    <t xml:space="preserve">CO2 avoided by assets residents co-fund (solar + upgrades)</t>
  </si>
  <si>
    <t xml:space="preserve">Note: timing factors are simple approximations (money raised mid-year; solar and upgrades repaid monthly; EV money returned from charging profit, not guaranteed).</t>
  </si>
  <si>
    <t xml:space="preserve">v2 – Guarantees, expected losses and certificates</t>
  </si>
  <si>
    <t xml:space="preserve">Repayment counted per shop-month (higher of actual or guaranteed saving × repay share)</t>
  </si>
  <si>
    <t xml:space="preserve">Expected default loss per shop-year</t>
  </si>
  <si>
    <t xml:space="preserve">Bad-debt reserve per shop-year (unused half of margin)</t>
  </si>
  <si>
    <t xml:space="preserve">Residents' uncovered loss on upgrades</t>
  </si>
  <si>
    <t xml:space="preserve">v3: kWh sold per charger-day (after downtime)</t>
  </si>
  <si>
    <t xml:space="preserve">kWh</t>
  </si>
  <si>
    <t xml:space="preserve">v3: usage top-up per charger-year (after cap)</t>
  </si>
  <si>
    <t xml:space="preserve">v3: usage top-up paid to residents (developer + platform + CPO)</t>
  </si>
  <si>
    <t xml:space="preserve">Solar MWh from the residents' share (for certificates)</t>
  </si>
  <si>
    <t xml:space="preserve">v3 – EV: who is paid while residents recover their money</t>
  </si>
  <si>
    <t xml:space="preserve">EV: charger-year factor while residents recover (by age)</t>
  </si>
  <si>
    <t xml:space="preserve">EV: charger-year factor after residents recover (by age)</t>
  </si>
  <si>
    <t xml:space="preserve">EV charger-years while residents recover</t>
  </si>
  <si>
    <t xml:space="preserve">EV charger-years after residents recover</t>
  </si>
  <si>
    <t xml:space="preserve">Developer's 10% share of residents' EV profit (paid after recovery if deferral is on)</t>
  </si>
  <si>
    <t xml:space="preserve">Developer's part of the usage top-up</t>
  </si>
  <si>
    <t xml:space="preserve">Platform's 10% share of residents' EV profit (paid after recovery if deferral is on)</t>
  </si>
  <si>
    <t xml:space="preserve">Platform's part of the usage top-up</t>
  </si>
  <si>
    <t xml:space="preserve">EV_Pilot – one charger's economics, who gets the money, and stress tests</t>
  </si>
  <si>
    <t xml:space="preserve">Each column is a case. B = normal, C = conservative (all stresses together, from Scenarios). D–K change ONE thing from normal. L and M switch off a protection. Every cell is a formula.</t>
  </si>
  <si>
    <t xml:space="preserve">Conservative (all stresses)</t>
  </si>
  <si>
    <t xml:space="preserve">Tariff +20%</t>
  </si>
  <si>
    <t xml:space="preserve">Maintenance +50%</t>
  </si>
  <si>
    <t xml:space="preserve">Downtime 10%</t>
  </si>
  <si>
    <t xml:space="preserve">Price −20%</t>
  </si>
  <si>
    <t xml:space="preserve">Grant not approved</t>
  </si>
  <si>
    <t xml:space="preserve">Usage 30 kWh/day</t>
  </si>
  <si>
    <t xml:space="preserve">No idle or membership fees</t>
  </si>
  <si>
    <t xml:space="preserve">Mall MV demand charge</t>
  </si>
  <si>
    <t xml:space="preserve">Normal, no deferral (70% split from day 1)</t>
  </si>
  <si>
    <t xml:space="preserve">Conservative, no top-up</t>
  </si>
  <si>
    <t xml:space="preserve">Unit / how</t>
  </si>
  <si>
    <t xml:space="preserve">Usage and prices</t>
  </si>
  <si>
    <t xml:space="preserve">Charging sessions per charger per day</t>
  </si>
  <si>
    <t xml:space="preserve">sessions</t>
  </si>
  <si>
    <t xml:space="preserve">Energy per session</t>
  </si>
  <si>
    <t xml:space="preserve">Downtime</t>
  </si>
  <si>
    <t xml:space="preserve">% of time</t>
  </si>
  <si>
    <t xml:space="preserve">Price level (1 − competitor price drop)</t>
  </si>
  <si>
    <t xml:space="preserve">DC average price (standard + peak)</t>
  </si>
  <si>
    <t xml:space="preserve">AC average price (standard + off-peak)</t>
  </si>
  <si>
    <t xml:space="preserve">Electricity cost per kWh (energy + capacity + network)</t>
  </si>
  <si>
    <t xml:space="preserve">  of which capacity charge</t>
  </si>
  <si>
    <t xml:space="preserve">Maximum-demand charge per kW (only if the site is on the MV tariff)</t>
  </si>
  <si>
    <t xml:space="preserve">DC 60 kW charger (per year)</t>
  </si>
  <si>
    <t xml:space="preserve">Installed cost</t>
  </si>
  <si>
    <t xml:space="preserve">MARii grant (if approved)</t>
  </si>
  <si>
    <t xml:space="preserve">Compliance cost share (per site ÷ chargers per site)</t>
  </si>
  <si>
    <t xml:space="preserve">Net installed cost</t>
  </si>
  <si>
    <t xml:space="preserve">Charging revenue</t>
  </si>
  <si>
    <t xml:space="preserve">Idle (occupancy) fees</t>
  </si>
  <si>
    <t xml:space="preserve">Membership fees</t>
  </si>
  <si>
    <t xml:space="preserve">Electricity (incl. capacity and network charges)</t>
  </si>
  <si>
    <t xml:space="preserve">Maximum-demand charge (MV sites only)</t>
  </si>
  <si>
    <t xml:space="preserve">Maintenance and CPO service fee</t>
  </si>
  <si>
    <t xml:space="preserve">Compliance audit share</t>
  </si>
  <si>
    <t xml:space="preserve">Net charging profit</t>
  </si>
  <si>
    <t xml:space="preserve">Revenue per charger per day</t>
  </si>
  <si>
    <t xml:space="preserve">RM/day</t>
  </si>
  <si>
    <t xml:space="preserve">AC 22 kW charger (per year)</t>
  </si>
  <si>
    <t xml:space="preserve">Blended charger (DC share × DC + AC share × AC)</t>
  </si>
  <si>
    <t xml:space="preserve">Net installed cost after grant</t>
  </si>
  <si>
    <t xml:space="preserve">Government grant received</t>
  </si>
  <si>
    <t xml:space="preserve">Electricity cost per charger per day (incl. capacity charge and any MV demand charge)</t>
  </si>
  <si>
    <t xml:space="preserve">Net charging profit per charger</t>
  </si>
  <si>
    <t xml:space="preserve">Whole-charger payback</t>
  </si>
  <si>
    <t xml:space="preserve">Who gets the profit (per charger per year)</t>
  </si>
  <si>
    <t xml:space="preserve">Residents' money in one charger</t>
  </si>
  <si>
    <t xml:space="preserve">Residents' share of profit (their 50%)</t>
  </si>
  <si>
    <t xml:space="preserve">CPO's share of profit (its 50%; it also earns the service fee)</t>
  </si>
  <si>
    <t xml:space="preserve">To residents while they recover their money</t>
  </si>
  <si>
    <t xml:space="preserve">To residents after they recover their money</t>
  </si>
  <si>
    <t xml:space="preserve">Developer share (paid after recovery if deferral is on)</t>
  </si>
  <si>
    <t xml:space="preserve">Platform share (paid after recovery if deferral is on)</t>
  </si>
  <si>
    <t xml:space="preserve">O&amp;M reserve</t>
  </si>
  <si>
    <t xml:space="preserve">Usage top-up (partners pay for missing kWh below the minimum, up to a cap)</t>
  </si>
  <si>
    <t xml:space="preserve">Missing kWh per day below the minimum</t>
  </si>
  <si>
    <t xml:space="preserve">Contract top-up rate (normal margin per kWh, fixed in contract)</t>
  </si>
  <si>
    <t xml:space="preserve">Top-up before cap (residents' part)</t>
  </si>
  <si>
    <t xml:space="preserve">Top-up paid (after cap)</t>
  </si>
  <si>
    <t xml:space="preserve">  paid by developer</t>
  </si>
  <si>
    <t xml:space="preserve">  paid by platform (us)</t>
  </si>
  <si>
    <t xml:space="preserve">  paid by CPO</t>
  </si>
  <si>
    <t xml:space="preserve">Residents: cash for every RM1,000 invested</t>
  </si>
  <si>
    <t xml:space="preserve">Cash a year while recovering money (incl. top-up)</t>
  </si>
  <si>
    <t xml:space="preserve">Cash a year after recovering money (incl. top-up)</t>
  </si>
  <si>
    <t xml:space="preserve">Reserve returned at the end</t>
  </si>
  <si>
    <t xml:space="preserve">Years to recover money</t>
  </si>
  <si>
    <t xml:space="preserve">Year 0 (invest)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</si>
  <si>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</si>
  <si>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</si>
  <si>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</si>
  <si>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</si>
  <si>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</si>
  <si>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Total received over the payback period</t>
  </si>
  <si>
    <t xml:space="preserve">Money back (share of what was invested)</t>
  </si>
  <si>
    <t xml:space="preserve">Loss over the payback period (target: no worse than 50%)</t>
  </si>
  <si>
    <t xml:space="preserve">Residents' return a year (IRR)</t>
  </si>
  <si>
    <t xml:space="preserve">Year-1 cash return (cash ÷ invested)</t>
  </si>
  <si>
    <t xml:space="preserve">Developer, platform and CPO (per charger per year)</t>
  </si>
  <si>
    <t xml:space="preserve">Developer net while residents recover (share − top-up)</t>
  </si>
  <si>
    <t xml:space="preserve">Developer net after residents recover</t>
  </si>
  <si>
    <t xml:space="preserve">Platform net while residents recover (share − top-up)</t>
  </si>
  <si>
    <t xml:space="preserve">Platform net after residents recover</t>
  </si>
  <si>
    <t xml:space="preserve">CPO: profit share + service fee − top-up</t>
  </si>
  <si>
    <t xml:space="preserve">CPO earns the service fee to cover its own crews and parts; shown for context</t>
  </si>
  <si>
    <t xml:space="preserve">How to read: a charger costs about RM45,000 after the grant; residents fund half and the CPO funds half. Profit is shared 50/50 by funding, then residents' half is split 70/10/10/10.</t>
  </si>
  <si>
    <t xml:space="preserve">Normal: the whole charger pays back in about 5 years, so a 7-year resident payback gives a single-digit return. EV is the thinnest pool: keep it small (RM1,000 cap per resident, 1–2 chargers a year).</t>
  </si>
  <si>
    <t xml:space="preserve">Top-up: if a charger sells less than 60 kWh/day, the developer (33%), platform (33%) and CPO (34%) pay residents for the missing kWh at the normal contract margin, capped at RM3,000 per charger a year. It does not cover price wars or cost rises.</t>
  </si>
  <si>
    <t xml:space="preserve">Losses: payouts never go below zero. Operating losses stay with the asset; a charger that keeps losing money should be moved or switched off by the CPO.</t>
  </si>
  <si>
    <t xml:space="preserve">The 'Mall MV demand charge' column assumes each charger adds 10 kW to the mall's peak with no load management. The CPO's load management must prevent this.</t>
  </si>
  <si>
    <t xml:space="preserve">1) Benefits – value created for the developer (customer)</t>
  </si>
  <si>
    <t xml:space="preserve">Top: one SDP-size client by its year on the platform. Bottom: all clients together by calendar year.</t>
  </si>
  <si>
    <t xml:space="preserve">Benefit</t>
  </si>
  <si>
    <t xml:space="preserve">How it is worked out</t>
  </si>
  <si>
    <t xml:space="preserve">One SDP-size client (by client's year)</t>
  </si>
  <si>
    <t xml:space="preserve">A. Cheaper money for solar</t>
  </si>
  <si>
    <t xml:space="preserve">Residents' solar money × ((8.5% − 5%) × developer's JV share + JV arrangement fee)</t>
  </si>
  <si>
    <t xml:space="preserve">B. Fee from shop upgrades</t>
  </si>
  <si>
    <t xml:space="preserve">Shop-years × positive safety margin × developer's share</t>
  </si>
  <si>
    <t xml:space="preserve">C. Developer's EV share, less its part of the usage top-up</t>
  </si>
  <si>
    <t xml:space="preserve">v3: 10% of residents' EV profit (paid after residents recover) − developer's 33% of any top-up</t>
  </si>
  <si>
    <t xml:space="preserve">D. Extra mall rent</t>
  </si>
  <si>
    <t xml:space="preserve">Money spent at malls × turnover rent</t>
  </si>
  <si>
    <t xml:space="preserve">Cash benefits (A to D, plus F)</t>
  </si>
  <si>
    <t xml:space="preserve">E. Community-programme saving (actually achieved)</t>
  </si>
  <si>
    <t xml:space="preserve">Programme spend × saving rate × share achieved</t>
  </si>
  <si>
    <t xml:space="preserve">Total benefit for one SDP-size client</t>
  </si>
  <si>
    <t xml:space="preserve">Value to residents and shops (one SDP-size client, not counted in developer ROI)</t>
  </si>
  <si>
    <t xml:space="preserve">Residents' profit earned</t>
  </si>
  <si>
    <t xml:space="preserve">Payout profit on money invested, after expected shop losses</t>
  </si>
  <si>
    <t xml:space="preserve">20% of savings during repayment</t>
  </si>
  <si>
    <t xml:space="preserve">CO2 avoided (tCO2e)</t>
  </si>
  <si>
    <t xml:space="preserve">Solar + upgrades</t>
  </si>
  <si>
    <t xml:space="preserve">All clients together (by calendar year)</t>
  </si>
  <si>
    <t xml:space="preserve">Developer clients on the platform</t>
  </si>
  <si>
    <t xml:space="preserve">Cumulative clients signed</t>
  </si>
  <si>
    <t xml:space="preserve">Cash benefits (A to D, plus F), all clients</t>
  </si>
  <si>
    <t xml:space="preserve">Community-programme saving, all clients</t>
  </si>
  <si>
    <t xml:space="preserve">Total benefits, all clients</t>
  </si>
  <si>
    <t xml:space="preserve">Money raised from residents, all clients</t>
  </si>
  <si>
    <t xml:space="preserve">Resident investments made, all clients (count)</t>
  </si>
  <si>
    <t xml:space="preserve">Residents' profit, all clients</t>
  </si>
  <si>
    <t xml:space="preserve">CO2 avoided, all clients (tCO2e)</t>
  </si>
  <si>
    <t xml:space="preserve">Benefit A only counts the residents' share of each solar asset and only the developer's assumed share of the JV. Benefit E is the least certain; v2 guarantees half of it in the contract (see Pricing_Income credit rows).</t>
  </si>
  <si>
    <t xml:space="preserve">v2 – Certificates and the community-saving guarantee (one SDP-size client)</t>
  </si>
  <si>
    <t xml:space="preserve">F. Renewable energy certificate (REC) sales, developer's share</t>
  </si>
  <si>
    <t xml:space="preserve">Residents' share of solar MWh × REC price × USD rate × JV share × (1 − our service fee)</t>
  </si>
  <si>
    <t xml:space="preserve">Community saving we guarantee in the contract</t>
  </si>
  <si>
    <t xml:space="preserve">Programme spend × saving rate × guaranteed share</t>
  </si>
  <si>
    <t xml:space="preserve">Shortfall vs guarantee</t>
  </si>
  <si>
    <t xml:space="preserve">Guaranteed − achieved (if positive)</t>
  </si>
  <si>
    <t xml:space="preserve">2) Pricing / Income – what clients pay = what we earn</t>
  </si>
  <si>
    <t xml:space="preserve">Top: one client by its year on the platform. Bottom: all clients by calendar year. v2 credits refund part of our fees if the community saving falls short.</t>
  </si>
  <si>
    <t xml:space="preserve">Income line</t>
  </si>
  <si>
    <t xml:space="preserve">Who pays</t>
  </si>
  <si>
    <t xml:space="preserve">One client (by client's year). Fixed fees are the same for every client; usage fees scale with client size.</t>
  </si>
  <si>
    <t xml:space="preserve">Set-up fee (v2: split into Year 1 and Year 2 instalments)</t>
  </si>
  <si>
    <t xml:space="preserve">Developer</t>
  </si>
  <si>
    <t xml:space="preserve">Platform fee (waived in Year 1 pilot; billed monthly)</t>
  </si>
  <si>
    <t xml:space="preserve">Fixed fees</t>
  </si>
  <si>
    <t xml:space="preserve">Success fee on money raised (v2: discounted in Year 1)</t>
  </si>
  <si>
    <t xml:space="preserve">Developer (from pool)</t>
  </si>
  <si>
    <t xml:space="preserve">Fee on money still invested (from Year 2)</t>
  </si>
  <si>
    <t xml:space="preserve">Usage fees paid by developer (SDP size)</t>
  </si>
  <si>
    <t xml:space="preserve">Fee on mall redemptions (SDP size)</t>
  </si>
  <si>
    <t xml:space="preserve">Mall shops</t>
  </si>
  <si>
    <t xml:space="preserve">SDP pays us (fixed + usage − guarantee credit)</t>
  </si>
  <si>
    <t xml:space="preserve">All clients (by calendar year)</t>
  </si>
  <si>
    <t xml:space="preserve">Fixed fees (set-up + platform, pro rata to client size)</t>
  </si>
  <si>
    <t xml:space="preserve">Developers</t>
  </si>
  <si>
    <t xml:space="preserve">Usage fees (success + invested money)</t>
  </si>
  <si>
    <t xml:space="preserve">Paid by developers (after guarantee credits)</t>
  </si>
  <si>
    <t xml:space="preserve">Redemption fees</t>
  </si>
  <si>
    <t xml:space="preserve">Total income (incl. v2 and v3 income lines)</t>
  </si>
  <si>
    <t xml:space="preserve">v2 – Guarantee credits and new income lines (one client, by client's year)</t>
  </si>
  <si>
    <t xml:space="preserve">Credit cap (share of that year's developer fees)</t>
  </si>
  <si>
    <t xml:space="preserve">Guarantee credit to an SDP-size client</t>
  </si>
  <si>
    <t xml:space="preserve">Credit to developer</t>
  </si>
  <si>
    <t xml:space="preserve">Guarantee credit to a typical new client</t>
  </si>
  <si>
    <t xml:space="preserve">Featured offers in rewards catalogue (SDP size)</t>
  </si>
  <si>
    <t xml:space="preserve">Energy dashboard subscriptions (SDP size)</t>
  </si>
  <si>
    <t xml:space="preserve">Upgraded shops</t>
  </si>
  <si>
    <t xml:space="preserve">REC registration and sales service (SDP size)</t>
  </si>
  <si>
    <t xml:space="preserve">From REC proceeds</t>
  </si>
  <si>
    <t xml:space="preserve">v2 – All clients (by calendar year)</t>
  </si>
  <si>
    <t xml:space="preserve">Guarantee credits – clients signed in Y1</t>
  </si>
  <si>
    <t xml:space="preserve">Credit to developers</t>
  </si>
  <si>
    <t xml:space="preserve">Guarantee credits – clients signed in Y2</t>
  </si>
  <si>
    <t xml:space="preserve">Guarantee credits – clients signed in Y3</t>
  </si>
  <si>
    <t xml:space="preserve">Guarantee credits – clients signed in Y4</t>
  </si>
  <si>
    <t xml:space="preserve">Guarantee credits – clients signed in Y5</t>
  </si>
  <si>
    <t xml:space="preserve">Guarantee credits, all clients</t>
  </si>
  <si>
    <t xml:space="preserve">Featured offers, all clients</t>
  </si>
  <si>
    <t xml:space="preserve">Energy dashboards, all clients</t>
  </si>
  <si>
    <t xml:space="preserve">REC service fees, all clients</t>
  </si>
  <si>
    <t xml:space="preserve">v3 – EV: our 10% share and our part of the usage top-up</t>
  </si>
  <si>
    <t xml:space="preserve">EV: our 10% share of residents' charging profit (SDP size; after residents recover)</t>
  </si>
  <si>
    <t xml:space="preserve">From EV pool</t>
  </si>
  <si>
    <t xml:space="preserve">EV: our 33% part of the usage top-up (cost, SDP size)</t>
  </si>
  <si>
    <t xml:space="preserve">We pay</t>
  </si>
  <si>
    <t xml:space="preserve">EV: net (SDP size)</t>
  </si>
  <si>
    <t xml:space="preserve">EV: net, all clients (can be negative)</t>
  </si>
  <si>
    <t xml:space="preserve">Does the customer make money from Year 1?</t>
  </si>
  <si>
    <t xml:space="preserve">Developer's benefit minus what the developer pays us (after any guarantee credit). Shops' fees are not counted (shops pay them).</t>
  </si>
  <si>
    <t xml:space="preserve">Sime Darby Property (first client, full size)</t>
  </si>
  <si>
    <t xml:space="preserve">Total benefit</t>
  </si>
  <si>
    <t xml:space="preserve">Paid to us (after guarantee credit)</t>
  </si>
  <si>
    <t xml:space="preserve">Net gain</t>
  </si>
  <si>
    <t xml:space="preserve">Cumulative net gain</t>
  </si>
  <si>
    <t xml:space="preserve">Net gain WITHOUT community-programme saving (cash only, after any credit)</t>
  </si>
  <si>
    <t xml:space="preserve">Return on what SDP pays (benefit ÷ paid)</t>
  </si>
  <si>
    <t xml:space="preserve">A typical new developer (smaller client)</t>
  </si>
  <si>
    <t xml:space="preserve">Checks</t>
  </si>
  <si>
    <t xml:space="preserve">SDP gains in Year 1?</t>
  </si>
  <si>
    <t xml:space="preserve">New developer gains in its Year 1?</t>
  </si>
  <si>
    <t xml:space="preserve">v2 – Contract view and extra checks</t>
  </si>
  <si>
    <t xml:space="preserve">Guarantee credit SDP receives</t>
  </si>
  <si>
    <t xml:space="preserve">Net gain if community saving only reaches the guaranteed level</t>
  </si>
  <si>
    <t xml:space="preserve">Guarantee credit a new client receives</t>
  </si>
  <si>
    <t xml:space="preserve">SDP cash-only net gain &gt; 0 in Year 1?</t>
  </si>
  <si>
    <t xml:space="preserve">New developer cash-only net gain &gt; 0 in its Year 1?</t>
  </si>
  <si>
    <t xml:space="preserve">Investor_ROI – what one resident gets in Year 1, per RM1,000 invested</t>
  </si>
  <si>
    <t xml:space="preserve">Normal uses Assumptions; Conservative uses the Scenarios sheet. Money is held by a licensed platform, never by us. Payouts are monthly.</t>
  </si>
  <si>
    <t xml:space="preserve">Note</t>
  </si>
  <si>
    <t xml:space="preserve">Pool 1 – Rooftop solar (low risk): fixed payout backed by tenant power payments, not roof leasing</t>
  </si>
  <si>
    <t xml:space="preserve">Contract payout rate</t>
  </si>
  <si>
    <t xml:space="preserve">Minimum payout rate (floor, backed by JV saving)</t>
  </si>
  <si>
    <t xml:space="preserve">Rate paid in Year 1</t>
  </si>
  <si>
    <t xml:space="preserve">Average share of money still invested in first 12 months</t>
  </si>
  <si>
    <t xml:space="preserve">Money is paid back monthly, so less is invested by year end.</t>
  </si>
  <si>
    <t xml:space="preserve">Year-1 profit per RM1,000</t>
  </si>
  <si>
    <t xml:space="preserve">Year-1 return</t>
  </si>
  <si>
    <t xml:space="preserve">Solar cover: tenant power payments ÷ payouts to residents</t>
  </si>
  <si>
    <t xml:space="preserve">Above 1.3x is comfortable. Per MW, first year.</t>
  </si>
  <si>
    <t xml:space="preserve">Pool 2 – Shop energy upgrades (medium risk)</t>
  </si>
  <si>
    <t xml:space="preserve">Year-1 profit per RM1,000 before losses</t>
  </si>
  <si>
    <t xml:space="preserve">Repayment counted per shop-month (higher of actual or guaranteed saving × 80%)</t>
  </si>
  <si>
    <t xml:space="preserve">Installer guarantees a minimum saving.</t>
  </si>
  <si>
    <t xml:space="preserve">Payout due per shop-year</t>
  </si>
  <si>
    <t xml:space="preserve">Safety margin per shop-year</t>
  </si>
  <si>
    <t xml:space="preserve">Bad-debt reserve per shop-year</t>
  </si>
  <si>
    <t xml:space="preserve">Uncovered loss per RM1,000</t>
  </si>
  <si>
    <t xml:space="preserve">Year-1 profit per RM1,000 after expected losses</t>
  </si>
  <si>
    <t xml:space="preserve">Pool 3 – EV charging (high risk, not capital-guaranteed; CPO partner runs the chargers)</t>
  </si>
  <si>
    <t xml:space="preserve">kWh sold per charger per day (after downtime)</t>
  </si>
  <si>
    <t xml:space="preserve">Usage top-up per charger per year (after cap)</t>
  </si>
  <si>
    <t xml:space="preserve">Developer 33%, platform 33%, CPO 34%; cap RM3,000.</t>
  </si>
  <si>
    <t xml:space="preserve">v3: 5 → 7 years.</t>
  </si>
  <si>
    <t xml:space="preserve">Cash per RM1,000 a year WITHOUT top-up (while recovering money)</t>
  </si>
  <si>
    <t xml:space="preserve">Shown for transparency.</t>
  </si>
  <si>
    <t xml:space="preserve">Cash per RM1,000 a year WITH top-up (while recovering money)</t>
  </si>
  <si>
    <t xml:space="preserve">Year-1 profit per RM1,000 (cash − money paid back)</t>
  </si>
  <si>
    <t xml:space="preserve">Money back over the payback period (share of RM invested)</t>
  </si>
  <si>
    <t xml:space="preserve">Loss over the payback period (if any)</t>
  </si>
  <si>
    <t xml:space="preserve">Money back without the protection (B: no deferral; C: no top-up)</t>
  </si>
  <si>
    <t xml:space="preserve">Shows what the v3 protections are worth.</t>
  </si>
  <si>
    <t xml:space="preserve">Solar Year-1 return &gt; 0?</t>
  </si>
  <si>
    <t xml:space="preserve">Upgrades Year-1 return &gt; 0?</t>
  </si>
  <si>
    <t xml:space="preserve">EV loss over the payback period no worse than 50%?</t>
  </si>
  <si>
    <t xml:space="preserve">5-year view per example investment (used on Summary)</t>
  </si>
  <si>
    <t xml:space="preserve">Example investment</t>
  </si>
  <si>
    <t xml:space="preserve">Solar: total received over tenure</t>
  </si>
  <si>
    <t xml:space="preserve">Solar: 5-year profit</t>
  </si>
  <si>
    <t xml:space="preserve">Upgrades: share still owed after year 1</t>
  </si>
  <si>
    <t xml:space="preserve">Upgrades: share still owed after year 2</t>
  </si>
  <si>
    <t xml:space="preserve">Upgrades: total received over tenure</t>
  </si>
  <si>
    <t xml:space="preserve">Upgrades: expected uncovered loss over tenure</t>
  </si>
  <si>
    <t xml:space="preserve">Defaults on money still owed, after the bad-debt reserve.</t>
  </si>
  <si>
    <t xml:space="preserve">Upgrades: 5-year profit after expected losses</t>
  </si>
  <si>
    <t xml:space="preserve">Upgrades: rate after expected losses</t>
  </si>
  <si>
    <t xml:space="preserve">EV: cash received in Year 1 (with top-up)</t>
  </si>
  <si>
    <t xml:space="preserve">EV: total received over the payback period (7 years)</t>
  </si>
  <si>
    <t xml:space="preserve">EV: profit / (loss) over the payback period</t>
  </si>
  <si>
    <t xml:space="preserve">EV: expected rate (IRR, from EV_Pilot)</t>
  </si>
  <si>
    <t xml:space="preserve">Variable, not guaranteed.</t>
  </si>
  <si>
    <t xml:space="preserve">3) Spendings – our own cost to build and run the platform (calendar year)</t>
  </si>
  <si>
    <t xml:space="preserve">Lean team; cloud cost grows with each client. v2: part of Year 1 pay taken as equity.</t>
  </si>
  <si>
    <t xml:space="preserve">Cost line</t>
  </si>
  <si>
    <t xml:space="preserve">Clients on the platform</t>
  </si>
  <si>
    <t xml:space="preserve">From Benefits</t>
  </si>
  <si>
    <t xml:space="preserve">Founders' pay (cash)</t>
  </si>
  <si>
    <t xml:space="preserve">People × salary × 12 × (1 + on-cost); Year 1 × cash share</t>
  </si>
  <si>
    <t xml:space="preserve">Contract developer (build Year 1, cash part)</t>
  </si>
  <si>
    <t xml:space="preserve">Months × monthly rate × cash share</t>
  </si>
  <si>
    <t xml:space="preserve">Extra developers</t>
  </si>
  <si>
    <t xml:space="preserve">People × pay × 12 × (1 + on-cost)</t>
  </si>
  <si>
    <t xml:space="preserve">Part-time support and operations</t>
  </si>
  <si>
    <t xml:space="preserve">From Yearly_Inputs</t>
  </si>
  <si>
    <t xml:space="preserve">Cloud (Supabase + Vercel)</t>
  </si>
  <si>
    <t xml:space="preserve">(Clients × Supabase + seats × Vercel) × 12 × USD rate</t>
  </si>
  <si>
    <t xml:space="preserve">Security testing</t>
  </si>
  <si>
    <t xml:space="preserve">Year 1 full test, then yearly retest</t>
  </si>
  <si>
    <t xml:space="preserve">Legal, PDPA and partner agreements</t>
  </si>
  <si>
    <t xml:space="preserve">Year 1 set-up, then yearly</t>
  </si>
  <si>
    <t xml:space="preserve">Sales and onboarding</t>
  </si>
  <si>
    <t xml:space="preserve">New clients × cost per client (standardised from Year 2)</t>
  </si>
  <si>
    <t xml:space="preserve">Total spend</t>
  </si>
  <si>
    <t xml:space="preserve">v2 – Non-cash pay taken as equity (not in total spend)</t>
  </si>
  <si>
    <t xml:space="preserve">Founders' pay taken as equity</t>
  </si>
  <si>
    <t xml:space="preserve">Year 1 salary × (1 − cash share)</t>
  </si>
  <si>
    <t xml:space="preserve">Contract pay taken as equity</t>
  </si>
  <si>
    <t xml:space="preserve">Contract pay × (1 − cash share)</t>
  </si>
  <si>
    <t xml:space="preserve">ROI – year by year and 5-year summary (calendar years, all clients)</t>
  </si>
  <si>
    <t xml:space="preserve">5-year total</t>
  </si>
  <si>
    <t xml:space="preserve">Developer clients</t>
  </si>
  <si>
    <t xml:space="preserve">Total benefits for developers</t>
  </si>
  <si>
    <t xml:space="preserve">Paid by developers to us (after credits)</t>
  </si>
  <si>
    <t xml:space="preserve">Our total income (incl. shop and REC fees)</t>
  </si>
  <si>
    <t xml:space="preserve">Our total spend</t>
  </si>
  <si>
    <t xml:space="preserve">Our net profit / (loss)</t>
  </si>
  <si>
    <t xml:space="preserve">Our cumulative net</t>
  </si>
  <si>
    <t xml:space="preserve">Our profit margin</t>
  </si>
  <si>
    <t xml:space="preserve">Developers' net gain (benefit − paid)</t>
  </si>
  <si>
    <t xml:space="preserve">5-year summary</t>
  </si>
  <si>
    <t xml:space="preserve">Our ROI = (income − spend) ÷ spend</t>
  </si>
  <si>
    <t xml:space="preserve">Our return on every RM spent over 5 years.</t>
  </si>
  <si>
    <t xml:space="preserve">Developer ROI = (benefit − paid) ÷ paid</t>
  </si>
  <si>
    <t xml:space="preserve">What developers get back for every RM paid to us.</t>
  </si>
  <si>
    <t xml:space="preserve">First profitable year</t>
  </si>
  <si>
    <t xml:space="preserve">Year cumulative net turns positive</t>
  </si>
  <si>
    <t xml:space="preserve">Target: we lose money in Y1?</t>
  </si>
  <si>
    <t xml:space="preserve">Target: we make money from Y2?</t>
  </si>
  <si>
    <t xml:space="preserve">Target: SDP gains in its Y1?</t>
  </si>
  <si>
    <t xml:space="preserve">Net present value (NPV) of our cash flows</t>
  </si>
  <si>
    <t xml:space="preserve">Year</t>
  </si>
  <si>
    <t xml:space="preserve">Net cash flow</t>
  </si>
  <si>
    <t xml:space="preserve">Discount factor</t>
  </si>
  <si>
    <t xml:space="preserve">Present value</t>
  </si>
  <si>
    <t xml:space="preserve">NPV</t>
  </si>
  <si>
    <t xml:space="preserve">NPV brings each year's profit or loss back to today's value using the discount rate on Assumptions (Scenarios for the conservative copy).</t>
  </si>
  <si>
    <t xml:space="preserve">v2 – Cash plan (grant covers the Year 1 loss)</t>
  </si>
  <si>
    <t xml:space="preserve">Grant / pre-seed funding received</t>
  </si>
  <si>
    <t xml:space="preserve">Cash balance at year end</t>
  </si>
  <si>
    <t xml:space="preserve">Cash stays positive in all 5 years?</t>
  </si>
  <si>
    <t xml:space="preserve">Developers' NPV of net gain (all clients)</t>
  </si>
  <si>
    <t xml:space="preserve">Same discount rate as our NPV.</t>
  </si>
  <si>
    <t xml:space="preserve">Conservative_Test – do the three targets hold under stress?</t>
  </si>
  <si>
    <t xml:space="preserve">Normal = original sheets. Conservative = C_ sheets, driven by the Scenarios sheet. Every number is a live formula.</t>
  </si>
  <si>
    <t xml:space="preserve">Target</t>
  </si>
  <si>
    <t xml:space="preserve">Pass (normal)</t>
  </si>
  <si>
    <t xml:space="preserve">Pass (conservative)</t>
  </si>
  <si>
    <t xml:space="preserve">&gt;0</t>
  </si>
  <si>
    <t xml:space="preserve">&lt;=50%</t>
  </si>
  <si>
    <t xml:space="preserve">&gt;=0</t>
  </si>
  <si>
    <t xml:space="preserve">All checks pass?</t>
  </si>
  <si>
    <t xml:space="preserve">Minimum changes that make the conservative case pass (already built into v2 inputs):</t>
  </si>
  <si>
    <t xml:space="preserve">• Year 1: set-up fee RM20,000 only; success fee waived; platform fee waived (Assumptions rows 38–40, 60–62).</t>
  </si>
  <si>
    <t xml:space="preserve">• Community saving made contractual: we guarantee 50% of the expected saving and credit back 50% of any shortfall (cap 100% of fees in Year 1, 25% later).</t>
  </si>
  <si>
    <t xml:space="preserve">• JV passes a 1% a year arrangement fee to the developer on residents' solar money (row 70).</t>
  </si>
  <si>
    <t xml:space="preserve">• Shop upgrades need an installer contract with a minimum-savings clause (RM800 a month) (row 72).</t>
  </si>
  <si>
    <t xml:space="preserve">• v3 EV: partners top up to 60 kWh/day (developer 33%, platform 33%, CPO 34%), capped at RM3,000 per charger a year (Assumptions rows 75–76, 138–140).</t>
  </si>
  <si>
    <t xml:space="preserve">• v3 EV: developer and platform 10% shares wait until residents recover their money (row 135); without this the normal EV return is about 1% a year.</t>
  </si>
  <si>
    <t xml:space="preserve">• v3 EV: start with 1–2 chargers a year and an RM1,000 cap per resident, so a weak EV pool cannot hurt the customer or vendor targets.</t>
  </si>
  <si>
    <t xml:space="preserve">• New shop-paid income: featured offers and energy dashboards; REC service fee. None is paid by the developer.</t>
  </si>
  <si>
    <t xml:space="preserve">• Our Year 1 cost: founders take half pay in cash, contract developer 70% cash; a RM120,000 grant covers the Year 1 loss (RM100,000 leaves conservative cash slightly negative).</t>
  </si>
  <si>
    <t xml:space="preserve">• Clients: sign letters of intent in Year 1 so at least one new client starts in Year 2 (two is the safety margin).</t>
  </si>
  <si>
    <t xml:space="preserve">• If only one new client signs in Year 2, delay the Year 3 developer hire by a year (Scenarios row 14).</t>
  </si>
  <si>
    <t xml:space="preserve">• Fixed fees are pro rata to client size, so smaller developers are not priced out.</t>
  </si>
  <si>
    <t xml:space="preserve">Township Green Loop – 5-Year Financial Projection</t>
  </si>
  <si>
    <t xml:space="preserve">Charts link to ROI, C_ROI and Customer_ROI and update when inputs change.</t>
  </si>
  <si>
    <t xml:space="preserve">Our income</t>
  </si>
  <si>
    <t xml:space="preserve">Our spend</t>
  </si>
  <si>
    <t xml:space="preserve">SDP benefit</t>
  </si>
  <si>
    <t xml:space="preserve">SDP pays us</t>
  </si>
  <si>
    <t xml:space="preserve">Our net (normal)</t>
  </si>
  <si>
    <t xml:space="preserve">Our net (conservative)</t>
  </si>
  <si>
    <t xml:space="preserve">Pools – what happens inside one client (SDP size), by the client's year on the platform – CONSERVATIVE scenario (inputs from Scenarios sheet)</t>
  </si>
  <si>
    <t xml:space="preserve">1) Benefits – value created for the developer (customer) – CONSERVATIVE scenario (inputs from Scenarios sheet)</t>
  </si>
  <si>
    <t xml:space="preserve">2) Pricing / Income – what clients pay = what we earn – CONSERVATIVE scenario (inputs from Scenarios sheet)</t>
  </si>
  <si>
    <t xml:space="preserve">Does the customer make money from Year 1? – CONSERVATIVE scenario (inputs from Scenarios sheet)</t>
  </si>
  <si>
    <t xml:space="preserve">3) Spendings – our own cost to build and run the platform (calendar year) – CONSERVATIVE scenario (inputs from Scenarios sheet)</t>
  </si>
  <si>
    <t xml:space="preserve">ROI – year by year and 5-year summary (calendar years, all clients) – CONSERVATIVE scenario (inputs from Scenarios sheet)</t>
  </si>
  <si>
    <t xml:space="preserve">Change_Log_v3 – EV rework and solar repositioning (this round)</t>
  </si>
  <si>
    <t xml:space="preserve">Part 1: every input or formula changed, with old value, new value, source and reason. Part 2: targets before vs after. Part 3: items in the brief that were changed or not applied, and why.</t>
  </si>
  <si>
    <t xml:space="preserve">Part 1 – Cells changed</t>
  </si>
  <si>
    <t xml:space="preserve">Cell</t>
  </si>
  <si>
    <t xml:space="preserve">Old</t>
  </si>
  <si>
    <t xml:space="preserve">New</t>
  </si>
  <si>
    <t xml:space="preserve">Source</t>
  </si>
  <si>
    <t xml:space="preserve">Reason</t>
  </si>
  <si>
    <t xml:space="preserve">Assumptions!B30</t>
  </si>
  <si>
    <t xml:space="preserve">EV installed cost</t>
  </si>
  <si>
    <t xml:space="preserve">70,000 (one 60 kW DC)</t>
  </si>
  <si>
    <t xml:space="preserve">Formula: 50% × DC 100,000 + 50% × AC 25,000 = 62,500 (before grant)</t>
  </si>
  <si>
    <t xml:space="preserve">Brief; hardware RM60–80k [R4]</t>
  </si>
  <si>
    <t xml:space="preserve">Includes grid upgrade, transformer, civil works, TNB application and permits; DC + AC mix.</t>
  </si>
  <si>
    <t xml:space="preserve">Assumptions!B32</t>
  </si>
  <si>
    <t xml:space="preserve">Charging price</t>
  </si>
  <si>
    <t xml:space="preserve">1.29 (ChargeSini DC)</t>
  </si>
  <si>
    <t xml:space="preserve">1.40 = DC 60 kW standard; AC 1.00 in Assumptions!B118</t>
  </si>
  <si>
    <t xml:space="preserve">[R25] ChargEV AEON Cheras Selatan</t>
  </si>
  <si>
    <t xml:space="preserve">Real 2026 mall prices. Brief named AEON Rawang; the confirmed source is Cheras Selatan.</t>
  </si>
  <si>
    <t xml:space="preserve">Assumptions!B33</t>
  </si>
  <si>
    <t xml:space="preserve">10%</t>
  </si>
  <si>
    <t xml:space="preserve">3% of revenue</t>
  </si>
  <si>
    <t xml:space="preserve">Brief</t>
  </si>
  <si>
    <t xml:space="preserve">Gateway 1.5–3% + app 1–2%.</t>
  </si>
  <si>
    <t xml:space="preserve">Assumptions!B34</t>
  </si>
  <si>
    <t xml:space="preserve">Maintenance (DC)</t>
  </si>
  <si>
    <t xml:space="preserve">5,000</t>
  </si>
  <si>
    <t xml:space="preserve">10,000 (DC); AC 3,000 in Assumptions!B127</t>
  </si>
  <si>
    <t xml:space="preserve">Brief; US benchmark [R32]</t>
  </si>
  <si>
    <t xml:space="preserve">Includes the CPO's SLA and customer service.</t>
  </si>
  <si>
    <t xml:space="preserve">Assumptions!B35</t>
  </si>
  <si>
    <t xml:space="preserve">kWh sold per charger per day</t>
  </si>
  <si>
    <t xml:space="preserve">100</t>
  </si>
  <si>
    <t xml:space="preserve">Formula: sessions × kWh per session = 2 × 30 = 60</t>
  </si>
  <si>
    <t xml:space="preserve">Brief; low utilisation [R31]</t>
  </si>
  <si>
    <t xml:space="preserve">Usage is the biggest EV risk.</t>
  </si>
  <si>
    <t xml:space="preserve">Assumptions!B36</t>
  </si>
  <si>
    <t xml:space="preserve">EV profit split</t>
  </si>
  <si>
    <t xml:space="preserve">Developer 10% of residents' profit</t>
  </si>
  <si>
    <t xml:space="preserve">Residents 70% / developer 10% / platform 10% / O&amp;M reserve 10% (rows 132–134)</t>
  </si>
  <si>
    <t xml:space="preserve">Platform and reserve added.</t>
  </si>
  <si>
    <t xml:space="preserve">Assumptions!B75</t>
  </si>
  <si>
    <t xml:space="preserve">Top-up level</t>
  </si>
  <si>
    <t xml:space="preserve">80 kWh/day</t>
  </si>
  <si>
    <t xml:space="preserve">60 kWh/day</t>
  </si>
  <si>
    <t xml:space="preserve">Equal to normal usage, so no top-up in the normal case.</t>
  </si>
  <si>
    <t xml:space="preserve">Assumptions!B76</t>
  </si>
  <si>
    <t xml:space="preserve">Top-up paid by developer</t>
  </si>
  <si>
    <t xml:space="preserve">100%</t>
  </si>
  <si>
    <t xml:space="preserve">33% (platform 33%, CPO 34%); cap RM3,000 per charger a year</t>
  </si>
  <si>
    <t xml:space="preserve">Shares the risk; the cap limits the developer's and our exposure.</t>
  </si>
  <si>
    <t xml:space="preserve">Yearly_Inputs!B7:F7</t>
  </si>
  <si>
    <t xml:space="preserve">New EV chargers per client</t>
  </si>
  <si>
    <t xml:space="preserve">2, 4, 4, 4, 4</t>
  </si>
  <si>
    <t xml:space="preserve">1, 2, 2, 2, 2</t>
  </si>
  <si>
    <t xml:space="preserve">Pilot first; expand after 12 months of data.</t>
  </si>
  <si>
    <t xml:space="preserve">Investor_ROI / Assumptions!B137</t>
  </si>
  <si>
    <t xml:space="preserve">5 years</t>
  </si>
  <si>
    <t xml:space="preserve">7 years</t>
  </si>
  <si>
    <t xml:space="preserve">Charger payback is often 5–8 years.</t>
  </si>
  <si>
    <t xml:space="preserve">Assumptions!B16</t>
  </si>
  <si>
    <t xml:space="preserve">Solar installed cost</t>
  </si>
  <si>
    <t xml:space="preserve">2,800 RM/kWp</t>
  </si>
  <si>
    <t xml:space="preserve">3,200 RM/kWp</t>
  </si>
  <si>
    <t xml:space="preserve">Brief; market from RM2,400 before SST [R38]</t>
  </si>
  <si>
    <t xml:space="preserve">Prudent figure. The brief's RM3,500–4,000 range was not confirmed.</t>
  </si>
  <si>
    <t xml:space="preserve">Assumptions!B18</t>
  </si>
  <si>
    <t xml:space="preserve">Residents' solar share</t>
  </si>
  <si>
    <t xml:space="preserve">30% (input)</t>
  </si>
  <si>
    <t xml:space="preserve">Formula = row 111 (30%); conservative 20% (row 112 via Scenarios)</t>
  </si>
  <si>
    <t xml:space="preserve">Kept 30% normal; conservative test added.</t>
  </si>
  <si>
    <t xml:space="preserve">Assumptions!B102:B113</t>
  </si>
  <si>
    <t xml:space="preserve">New inputs from the brief</t>
  </si>
  <si>
    <t xml:space="preserve">–</t>
  </si>
  <si>
    <t xml:space="preserve">Electricity 0.507, capacity charge, MARii 50%, sessions 2, kWh 30, compliance 15,000 + 5,000/yr, solar model, CREAM 9 sen, solar share 30%/20%, ownership statement</t>
  </si>
  <si>
    <t xml:space="preserve">[R26][R28][R30][R35][R36]</t>
  </si>
  <si>
    <t xml:space="preserve">As requested; B102 is a formula of its three tariff parts.</t>
  </si>
  <si>
    <t xml:space="preserve">Assumptions!B115:B146</t>
  </si>
  <si>
    <t xml:space="preserve">EV detail and incentives</t>
  </si>
  <si>
    <t xml:space="preserve">DC/AC mix, peak/off-peak, idle fee, membership, chargers per site, split, deferral switch, tenor, top-up shares and cap, MV demand charge, GITA and tax notes</t>
  </si>
  <si>
    <t xml:space="preserve">[R25]–[R34]</t>
  </si>
  <si>
    <t xml:space="preserve">Needed for the DC/AC model, pricing and the stress tests.</t>
  </si>
  <si>
    <t xml:space="preserve">Scenarios!C6, C11, C15:C23</t>
  </si>
  <si>
    <t xml:space="preserve">Conservative EV and solar stresses</t>
  </si>
  <si>
    <t xml:space="preserve">C6 50 kWh; C11 10% price drop</t>
  </si>
  <si>
    <t xml:space="preserve">C6 = 1.5 × 20 = 30 kWh; price −20%; tariff +20%; maintenance +50%; downtime 10%; grant not approved; idle and membership halved; solar share 20%</t>
  </si>
  <si>
    <t xml:space="preserve">All stresses are stacked in the conservative case.</t>
  </si>
  <si>
    <t xml:space="preserve">EV_Pilot (new sheet)</t>
  </si>
  <si>
    <t xml:space="preserve">Charger economics</t>
  </si>
  <si>
    <t xml:space="preserve">DC, AC and blended P&amp;L, profit split, top-up, 7-year resident cash flow and IRR; 12 cases incl. one-at-a-time stresses</t>
  </si>
  <si>
    <t xml:space="preserve">Requested.</t>
  </si>
  <si>
    <t xml:space="preserve">Pools rows 13–14, 36–43, 60–62, 65–73</t>
  </si>
  <si>
    <t xml:space="preserve">EV pool calculation</t>
  </si>
  <si>
    <t xml:space="preserve">Single DC charger, 5-year payback</t>
  </si>
  <si>
    <t xml:space="preserve">Links to EV_Pilot; 7-year payback; deferral and top-up rows</t>
  </si>
  <si>
    <t xml:space="preserve">Same structure; new rows shaded green.</t>
  </si>
  <si>
    <t xml:space="preserve">Benefits row 8 (C)</t>
  </si>
  <si>
    <t xml:space="preserve">Developer EV benefit</t>
  </si>
  <si>
    <t xml:space="preserve">10% fee − 100% top-up</t>
  </si>
  <si>
    <t xml:space="preserve">10% share (after residents recover) − 33% of top-up</t>
  </si>
  <si>
    <t xml:space="preserve">New split.</t>
  </si>
  <si>
    <t xml:space="preserve">Pricing_Income rows 42–46</t>
  </si>
  <si>
    <t xml:space="preserve">Our EV income</t>
  </si>
  <si>
    <t xml:space="preserve">10% share (after recovery) − our 33% of top-up, added to total income</t>
  </si>
  <si>
    <t xml:space="preserve">Platform now shares EV upside and risk.</t>
  </si>
  <si>
    <t xml:space="preserve">Investor_ROI EV section; Investor_View</t>
  </si>
  <si>
    <t xml:space="preserve">Investor view and risk disclosure</t>
  </si>
  <si>
    <t xml:space="preserve">5-year EV view</t>
  </si>
  <si>
    <t xml:space="preserve">7-year EV view linked to EV_Pilot; solar described as 'fixed payout backed by tenant power payments (not roof leasing)'; new risk notes</t>
  </si>
  <si>
    <t xml:space="preserve">Conservative_Test</t>
  </si>
  <si>
    <t xml:space="preserve">Checks and notes</t>
  </si>
  <si>
    <t xml:space="preserve">4c: 5-year EV loss</t>
  </si>
  <si>
    <t xml:space="preserve">4c: loss over the 7-year payback; new EV stress inputs listed</t>
  </si>
  <si>
    <t xml:space="preserve">Part 2 – Targets: v2 (recorded) vs v3 (live)</t>
  </si>
  <si>
    <t xml:space="preserve">v2 normal</t>
  </si>
  <si>
    <t xml:space="preserve">v2 conservative</t>
  </si>
  <si>
    <t xml:space="preserve">v3 normal</t>
  </si>
  <si>
    <t xml:space="preserve">v3 conservative</t>
  </si>
  <si>
    <t xml:space="preserve">v3 pass (normal / conservative)</t>
  </si>
  <si>
    <t xml:space="preserve">v2 values are recorded numbers from the v2 file. Hard targets: 1 (customer Year 1), 4a/4b/4c (investors), 5 (vendor Year 2).</t>
  </si>
  <si>
    <t xml:space="preserve">Part 3 – Brief items changed or not applied</t>
  </si>
  <si>
    <t xml:space="preserve">Brief said</t>
  </si>
  <si>
    <t xml:space="preserve">What we did</t>
  </si>
  <si>
    <t xml:space="preserve">Demand charge (B103)</t>
  </si>
  <si>
    <t xml:space="preserve">RM8.83 per kW per month, on top of 0.507/kWh</t>
  </si>
  <si>
    <t xml:space="preserve">Kept 8.83 as sen per kWh, inside the 0.507 total</t>
  </si>
  <si>
    <t xml:space="preserve">The July 2025 LV tariff lists capacity charge as 8.83 sen/kWh [R28]; adding it again would double-count. MV demand charge (RM89.27/kW) is a separate sensitivity.</t>
  </si>
  <si>
    <t xml:space="preserve">Conservative usage</t>
  </si>
  <si>
    <t xml:space="preserve">1 session × 20 kWh, and 30 kWh/day</t>
  </si>
  <si>
    <t xml:space="preserve">1.5 sessions × 20 kWh = 30 kWh/day</t>
  </si>
  <si>
    <t xml:space="preserve">The two numbers in the brief conflict (1 × 20 = 20).</t>
  </si>
  <si>
    <t xml:space="preserve">SDP community data</t>
  </si>
  <si>
    <t xml:space="preserve">RM1.9 million community investment; RM8 million donations</t>
  </si>
  <si>
    <t xml:space="preserve">Not added</t>
  </si>
  <si>
    <t xml:space="preserve">Not found in SDP's IR2024 key highlights; only '70,000+ beneficiaries' and 'RM20.8 million total economic spend' are confirmed [R12].</t>
  </si>
  <si>
    <t xml:space="preserve">EV maintenance basis</t>
  </si>
  <si>
    <t xml:space="preserve">About 30% of capital cost a year</t>
  </si>
  <si>
    <t xml:space="preserve">Used RM10,000 / RM3,000 as given</t>
  </si>
  <si>
    <t xml:space="preserve">Those values are 10–12% of capital, not 30%. US benchmark is lower [R32].</t>
  </si>
  <si>
    <t xml:space="preserve">Solar cost basis</t>
  </si>
  <si>
    <t xml:space="preserve">RM3,500–4,000/kWp in 2025</t>
  </si>
  <si>
    <t xml:space="preserve">Used RM3,200 as given</t>
  </si>
  <si>
    <t xml:space="preserve">Could not confirm the range; one installer lists commercial from RM2,400 before SST [R38]. 3,200 is prudent.</t>
  </si>
  <si>
    <t xml:space="preserve">ST guideline number</t>
  </si>
  <si>
    <t xml:space="preserve">GP/ST/No. 54/2025</t>
  </si>
  <si>
    <t xml:space="preserve">Cited as the 2025 edition of the EVCS guidelines</t>
  </si>
  <si>
    <t xml:space="preserve">The number could not be confirmed; the 2025 edition (17 Mar 2025) is confirmed [R30].</t>
  </si>
  <si>
    <t xml:space="preserve">MARii grant</t>
  </si>
  <si>
    <t xml:space="preserve">50% of DC cost</t>
  </si>
  <si>
    <t xml:space="preserve">Used, cap RM50,000 per unit; CPO applies</t>
  </si>
  <si>
    <t xml:space="preserve">Programme targets automotive players, especially Bumiputera companies [R26]. Conservative case assumes no grant.</t>
  </si>
  <si>
    <t xml:space="preserve">Residents 70% from day 1</t>
  </si>
  <si>
    <t xml:space="preserve">Developer and platform 10% shares wait until residents recover their money (switch, row 135)</t>
  </si>
  <si>
    <t xml:space="preserve">Minimum fix: with 70% from day 1 the normal EV return is very low (EV_Pilot column L).</t>
  </si>
  <si>
    <t xml:space="preserve">Tax incentives</t>
  </si>
  <si>
    <t xml:space="preserve">GITA, EV equipment exemption, RM2,500 relief</t>
  </si>
  <si>
    <t xml:space="preserve">Listed as information only</t>
  </si>
  <si>
    <t xml:space="preserve">They benefit the CPO, equipment makers or residents, not our P&amp;L [R33][R34].</t>
  </si>
  <si>
    <t xml:space="preserve">Change_Log – what changed from v1 to v2</t>
  </si>
  <si>
    <t xml:space="preserve">Part 1: assumption changes. Part 2: results before vs after (normal case). Part 3: every cell whose content changed in the v1 sheets (formulas grouped across Year 1–5).</t>
  </si>
  <si>
    <t xml:space="preserve">Part 1 – Assumption changes</t>
  </si>
  <si>
    <t xml:space="preserve">Assumptions!B38</t>
  </si>
  <si>
    <t xml:space="preserve">Set-up fee</t>
  </si>
  <si>
    <t xml:space="preserve">10,000 (input)</t>
  </si>
  <si>
    <t xml:space="preserve">Formula B60+B61 = 50,000, billed 20,000 in client Year 1 and 30,000 in Year 2</t>
  </si>
  <si>
    <t xml:space="preserve">Lower Year 1 cost for the customer; total set-up fee is higher.</t>
  </si>
  <si>
    <t xml:space="preserve">Assumptions!B39</t>
  </si>
  <si>
    <t xml:space="preserve">Annual platform fee</t>
  </si>
  <si>
    <t xml:space="preserve">72,000</t>
  </si>
  <si>
    <t xml:space="preserve">72,000 for SDP size; smaller clients pay pro rata</t>
  </si>
  <si>
    <t xml:space="preserve">Smaller developers were losing money under stress.</t>
  </si>
  <si>
    <t xml:space="preserve">Assumptions!B40</t>
  </si>
  <si>
    <t xml:space="preserve">Success fee</t>
  </si>
  <si>
    <t xml:space="preserve">0.75% every year</t>
  </si>
  <si>
    <t xml:space="preserve">0.75%, waived in client Year 1 (B62 = 100%)</t>
  </si>
  <si>
    <t xml:space="preserve">Customer gains in Year 1 on cash alone.</t>
  </si>
  <si>
    <t xml:space="preserve">EV payment and app costs</t>
  </si>
  <si>
    <t xml:space="preserve">10% (unit said '% of price')</t>
  </si>
  <si>
    <t xml:space="preserve">10% of charging price per kWh (unit clarified)</t>
  </si>
  <si>
    <t xml:space="preserve">No value change.</t>
  </si>
  <si>
    <t xml:space="preserve">Assumptions!B59:B93</t>
  </si>
  <si>
    <t xml:space="preserve">v2 inputs: launch terms, guarantee, investor protection, new income, cost and cash plan, solar cover</t>
  </si>
  <si>
    <t xml:space="preserve">29 new inputs in 6 green sections</t>
  </si>
  <si>
    <t xml:space="preserve">Implements the three hard targets through inputs, not hard-coded results.</t>
  </si>
  <si>
    <t xml:space="preserve">Assumptions!B84</t>
  </si>
  <si>
    <t xml:space="preserve">Founders' cash pay in Year 1</t>
  </si>
  <si>
    <t xml:space="preserve">50% (rest equity)</t>
  </si>
  <si>
    <t xml:space="preserve">Cuts Year 1 cash burn.</t>
  </si>
  <si>
    <t xml:space="preserve">Assumptions!B85</t>
  </si>
  <si>
    <t xml:space="preserve">Contract developer cash share</t>
  </si>
  <si>
    <t xml:space="preserve">70% (rest equity)</t>
  </si>
  <si>
    <t xml:space="preserve">Assumptions!B86</t>
  </si>
  <si>
    <t xml:space="preserve">Onboarding per new client after Year 1</t>
  </si>
  <si>
    <t xml:space="preserve">8,000</t>
  </si>
  <si>
    <t xml:space="preserve">Standard onboarding playbook.</t>
  </si>
  <si>
    <t xml:space="preserve">Assumptions!B87</t>
  </si>
  <si>
    <t xml:space="preserve">Year 1 grant / pre-seed</t>
  </si>
  <si>
    <t xml:space="preserve">120,000</t>
  </si>
  <si>
    <t xml:space="preserve">Covers the Year 1 loss; Cradle CIP Spark allows up to RM150,000 [R23].</t>
  </si>
  <si>
    <t xml:space="preserve">Scenarios!C5:C14</t>
  </si>
  <si>
    <t xml:space="preserve">Conservative stress inputs</t>
  </si>
  <si>
    <t xml:space="preserve">New sheet</t>
  </si>
  <si>
    <t xml:space="preserve">Drives the C_ sheets and Conservative_Test.</t>
  </si>
  <si>
    <t xml:space="preserve">Assumptions!B96:B101</t>
  </si>
  <si>
    <t xml:space="preserve">Minimum and maximum investment per pool</t>
  </si>
  <si>
    <t xml:space="preserve">One note: minimum RM100, caps RM500–2,000</t>
  </si>
  <si>
    <t xml:space="preserve">Solar RM100–5,000; Upgrades RM100–3,000; EV RM100–1,000</t>
  </si>
  <si>
    <t xml:space="preserve">Shown on the new Investor_View sheet; caps follow risk and the SC RM5,000-per-company retail limit [R24].</t>
  </si>
  <si>
    <t xml:space="preserve">Part 2 – Results before vs after (normal case)</t>
  </si>
  <si>
    <t xml:space="preserve">Result</t>
  </si>
  <si>
    <t xml:space="preserve">v1 (recorded value)</t>
  </si>
  <si>
    <t xml:space="preserve">v2 (live)</t>
  </si>
  <si>
    <t xml:space="preserve">SDP net gain, Year 1</t>
  </si>
  <si>
    <t xml:space="preserve">Customer_ROI!C8</t>
  </si>
  <si>
    <t xml:space="preserve">SDP cash-only net gain, Year 1</t>
  </si>
  <si>
    <t xml:space="preserve">Customer_ROI!C10</t>
  </si>
  <si>
    <t xml:space="preserve">New developer net gain, its Year 1</t>
  </si>
  <si>
    <t xml:space="preserve">Customer_ROI!C16</t>
  </si>
  <si>
    <t xml:space="preserve">Residents' profit, Year 1 (SDP)</t>
  </si>
  <si>
    <t xml:space="preserve">Pools!C50</t>
  </si>
  <si>
    <t xml:space="preserve">Our net profit, Year 1</t>
  </si>
  <si>
    <t xml:space="preserve">ROI!C10</t>
  </si>
  <si>
    <t xml:space="preserve">Our net profit, Year 2</t>
  </si>
  <si>
    <t xml:space="preserve">ROI!D10</t>
  </si>
  <si>
    <t xml:space="preserve">Our net profit, 5 years</t>
  </si>
  <si>
    <t xml:space="preserve">ROI!H10</t>
  </si>
  <si>
    <t xml:space="preserve">NPV of our cash flows</t>
  </si>
  <si>
    <t xml:space="preserve">ROI!E31</t>
  </si>
  <si>
    <t xml:space="preserve">Total income, 5 years</t>
  </si>
  <si>
    <t xml:space="preserve">ROI!H8</t>
  </si>
  <si>
    <t xml:space="preserve">Developers' net gain, 5 years</t>
  </si>
  <si>
    <t xml:space="preserve">ROI!H13</t>
  </si>
  <si>
    <t xml:space="preserve">v1 values are recorded numbers from the previous file, kept only for comparison.</t>
  </si>
  <si>
    <t xml:space="preserve">Part 3 – Cell-level changes in v1 sheets (new rows are marked green on each sheet)</t>
  </si>
  <si>
    <t xml:space="preserve">Sheet</t>
  </si>
  <si>
    <t xml:space="preserve">Cell(s)</t>
  </si>
  <si>
    <t xml:space="preserve">Row label</t>
  </si>
  <si>
    <t xml:space="preserve">Old content</t>
  </si>
  <si>
    <t xml:space="preserve">New content</t>
  </si>
  <si>
    <t xml:space="preserve">Type</t>
  </si>
  <si>
    <t xml:space="preserve">Assumptions</t>
  </si>
  <si>
    <t xml:space="preserve">A2</t>
  </si>
  <si>
    <t xml:space="preserve">Blue = input you can change · Yellow = key assumption to check · Every other sheet pulls from here. All money in RM.</t>
  </si>
  <si>
    <t xml:space="preserve">label</t>
  </si>
  <si>
    <t xml:space="preserve">D7</t>
  </si>
  <si>
    <t xml:space="preserve">Assumption. Minimum RM100, caps RM500–2,000 per pool.</t>
  </si>
  <si>
    <t xml:space="preserve">value</t>
  </si>
  <si>
    <t xml:space="preserve">D10</t>
  </si>
  <si>
    <t xml:space="preserve">Example rate of 1% of gross sales on top of base rent: D&amp;H law firm, '8 things to be aware of before renting that mall space' [R13].</t>
  </si>
  <si>
    <t xml:space="preserve">A15</t>
  </si>
  <si>
    <t xml:space="preserve">D16</t>
  </si>
  <si>
    <t xml:space="preserve">Commercial systems about RM2.80 per watt (Trexon, 2026) [R5].</t>
  </si>
  <si>
    <t xml:space="preserve">B16</t>
  </si>
  <si>
    <t xml:space="preserve">2800</t>
  </si>
  <si>
    <t xml:space="preserve">3200</t>
  </si>
  <si>
    <t xml:space="preserve">value/text</t>
  </si>
  <si>
    <t xml:space="preserve">D18</t>
  </si>
  <si>
    <t xml:space="preserve">Team solar model: at 30%, tenant payments cover resident payouts 1.83 times.</t>
  </si>
  <si>
    <t xml:space="preserve">B18</t>
  </si>
  <si>
    <t xml:space="preserve">0.3</t>
  </si>
  <si>
    <t xml:space="preserve">=Assumptions!$B$111</t>
  </si>
  <si>
    <t xml:space="preserve">formula</t>
  </si>
  <si>
    <t xml:space="preserve">A29</t>
  </si>
  <si>
    <t xml:space="preserve">D30</t>
  </si>
  <si>
    <t xml:space="preserve">RM60,000–80,000 installed (Trexon, 2026) [R4].</t>
  </si>
  <si>
    <t xml:space="preserve">A30</t>
  </si>
  <si>
    <t xml:space="preserve">Installed cost per 60 kW DC charger</t>
  </si>
  <si>
    <t xml:space="preserve">B30</t>
  </si>
  <si>
    <t xml:space="preserve">70000</t>
  </si>
  <si>
    <t xml:space="preserve">=Assumptions!$B$115*Assumptions!$B$116+(1-Assumptions!$B$115)*Assumptions!$B$117</t>
  </si>
  <si>
    <t xml:space="preserve">D31</t>
  </si>
  <si>
    <t xml:space="preserve">A31</t>
  </si>
  <si>
    <t xml:space="preserve">Share of each charger funded by residents</t>
  </si>
  <si>
    <t xml:space="preserve">D32</t>
  </si>
  <si>
    <t xml:space="preserve">ChargeSini 60–80 kW public DC rate, Sept 2026 (RinggitPlus) [R10].</t>
  </si>
  <si>
    <t xml:space="preserve">A32</t>
  </si>
  <si>
    <t xml:space="preserve">Charging price to drivers</t>
  </si>
  <si>
    <t xml:space="preserve">B32</t>
  </si>
  <si>
    <t xml:space="preserve">1.29</t>
  </si>
  <si>
    <t xml:space="preserve">1.4</t>
  </si>
  <si>
    <t xml:space="preserve">C33:D33</t>
  </si>
  <si>
    <t xml:space="preserve">% of price</t>
  </si>
  <si>
    <t xml:space="preserve">B33</t>
  </si>
  <si>
    <t xml:space="preserve">0.1</t>
  </si>
  <si>
    <t xml:space="preserve">0.03</t>
  </si>
  <si>
    <t xml:space="preserve">D34</t>
  </si>
  <si>
    <t xml:space="preserve">A34</t>
  </si>
  <si>
    <t xml:space="preserve">Maintenance per charger</t>
  </si>
  <si>
    <t xml:space="preserve">B34</t>
  </si>
  <si>
    <t xml:space="preserve">5000</t>
  </si>
  <si>
    <t xml:space="preserve">10000</t>
  </si>
  <si>
    <t xml:space="preserve">D35</t>
  </si>
  <si>
    <t xml:space="preserve">Assumption: about 2 cars a day. Biggest EV risk.</t>
  </si>
  <si>
    <t xml:space="preserve">B35</t>
  </si>
  <si>
    <t xml:space="preserve">=Assumptions!$B$105*Assumptions!$B$106</t>
  </si>
  <si>
    <t xml:space="preserve">D36</t>
  </si>
  <si>
    <t xml:space="preserve">A36</t>
  </si>
  <si>
    <t xml:space="preserve">Developer's fee on residents' EV profit</t>
  </si>
  <si>
    <t xml:space="preserve">D38</t>
  </si>
  <si>
    <t xml:space="preserve">Our price. Kept low so the client gains from Year 1.</t>
  </si>
  <si>
    <t xml:space="preserve">A38</t>
  </si>
  <si>
    <t xml:space="preserve">Set-up fee (client's first year only)</t>
  </si>
  <si>
    <t xml:space="preserve">B38</t>
  </si>
  <si>
    <t xml:space="preserve">=Assumptions!$B$60+Assumptions!$B$61</t>
  </si>
  <si>
    <t xml:space="preserve">D39</t>
  </si>
  <si>
    <t xml:space="preserve">Our price (RM6,000 a month). Waived in the first year as a pilot.</t>
  </si>
  <si>
    <t xml:space="preserve">D40</t>
  </si>
  <si>
    <t xml:space="preserve">Our price. Crowdfunding platforms also charge a success fee on amounts raised (pitchIN) [R15].</t>
  </si>
  <si>
    <t xml:space="preserve">D57</t>
  </si>
  <si>
    <t xml:space="preserve">A59:H59</t>
  </si>
  <si>
    <t xml:space="preserve">(empty)</t>
  </si>
  <si>
    <t xml:space="preserve">new row added in v2</t>
  </si>
  <si>
    <t xml:space="preserve">added</t>
  </si>
  <si>
    <t xml:space="preserve">A60:H60</t>
  </si>
  <si>
    <t xml:space="preserve">A61:H61</t>
  </si>
  <si>
    <t xml:space="preserve">A62:H62</t>
  </si>
  <si>
    <t xml:space="preserve">A63:H63</t>
  </si>
  <si>
    <t xml:space="preserve">A64:H64</t>
  </si>
  <si>
    <t xml:space="preserve">A65:H65</t>
  </si>
  <si>
    <t xml:space="preserve">A66:H66</t>
  </si>
  <si>
    <t xml:space="preserve">A67:H67</t>
  </si>
  <si>
    <t xml:space="preserve">A68:H68</t>
  </si>
  <si>
    <t xml:space="preserve">A69:H69</t>
  </si>
  <si>
    <t xml:space="preserve">A70:H70</t>
  </si>
  <si>
    <t xml:space="preserve">A71:H71</t>
  </si>
  <si>
    <t xml:space="preserve">A72:H72</t>
  </si>
  <si>
    <t xml:space="preserve">A73:H73</t>
  </si>
  <si>
    <t xml:space="preserve">A74:H74</t>
  </si>
  <si>
    <t xml:space="preserve">A75:H75</t>
  </si>
  <si>
    <t xml:space="preserve">A76:H76</t>
  </si>
  <si>
    <t xml:space="preserve">A77:H77</t>
  </si>
  <si>
    <t xml:space="preserve">A78:H78</t>
  </si>
  <si>
    <t xml:space="preserve">A79:H79</t>
  </si>
  <si>
    <t xml:space="preserve">A80:H80</t>
  </si>
  <si>
    <t xml:space="preserve">A81:H81</t>
  </si>
  <si>
    <t xml:space="preserve">A82:H82</t>
  </si>
  <si>
    <t xml:space="preserve">A83:H83</t>
  </si>
  <si>
    <t xml:space="preserve">A84:H84</t>
  </si>
  <si>
    <t xml:space="preserve">A85:H85</t>
  </si>
  <si>
    <t xml:space="preserve">A86:H86</t>
  </si>
  <si>
    <t xml:space="preserve">A87:H87</t>
  </si>
  <si>
    <t xml:space="preserve">A88:H88</t>
  </si>
  <si>
    <t xml:space="preserve">A89:H89</t>
  </si>
  <si>
    <t xml:space="preserve">A90:H90</t>
  </si>
  <si>
    <t xml:space="preserve">A91:H91</t>
  </si>
  <si>
    <t xml:space="preserve">A92:H92</t>
  </si>
  <si>
    <t xml:space="preserve">A93:H93</t>
  </si>
  <si>
    <t xml:space="preserve">A94:H94</t>
  </si>
  <si>
    <t xml:space="preserve">A95:H95</t>
  </si>
  <si>
    <t xml:space="preserve">A96:H96</t>
  </si>
  <si>
    <t xml:space="preserve">A97:H97</t>
  </si>
  <si>
    <t xml:space="preserve">A98:H98</t>
  </si>
  <si>
    <t xml:space="preserve">A99:H99</t>
  </si>
  <si>
    <t xml:space="preserve">A100:H100</t>
  </si>
  <si>
    <t xml:space="preserve">A101:H101</t>
  </si>
  <si>
    <t xml:space="preserve">A102:H102</t>
  </si>
  <si>
    <t xml:space="preserve">A103:H103</t>
  </si>
  <si>
    <t xml:space="preserve">A104:H104</t>
  </si>
  <si>
    <t xml:space="preserve">A105:H105</t>
  </si>
  <si>
    <t xml:space="preserve">A106:H106</t>
  </si>
  <si>
    <t xml:space="preserve">A107:H107</t>
  </si>
  <si>
    <t xml:space="preserve">A108:H108</t>
  </si>
  <si>
    <t xml:space="preserve">A109:H109</t>
  </si>
  <si>
    <t xml:space="preserve">A110:H110</t>
  </si>
  <si>
    <t xml:space="preserve">A111:H111</t>
  </si>
  <si>
    <t xml:space="preserve">A112:H112</t>
  </si>
  <si>
    <t xml:space="preserve">A113:H113</t>
  </si>
  <si>
    <t xml:space="preserve">A114:H114</t>
  </si>
  <si>
    <t xml:space="preserve">A115:H115</t>
  </si>
  <si>
    <t xml:space="preserve">A116:H116</t>
  </si>
  <si>
    <t xml:space="preserve">A117:H117</t>
  </si>
  <si>
    <t xml:space="preserve">A118:H118</t>
  </si>
  <si>
    <t xml:space="preserve">A119:H119</t>
  </si>
  <si>
    <t xml:space="preserve">A120:H120</t>
  </si>
  <si>
    <t xml:space="preserve">A121:H121</t>
  </si>
  <si>
    <t xml:space="preserve">A122:H122</t>
  </si>
  <si>
    <t xml:space="preserve">A123:H123</t>
  </si>
  <si>
    <t xml:space="preserve">A124:H124</t>
  </si>
  <si>
    <t xml:space="preserve">A125:H125</t>
  </si>
  <si>
    <t xml:space="preserve">A126:H126</t>
  </si>
  <si>
    <t xml:space="preserve">A127:H127</t>
  </si>
  <si>
    <t xml:space="preserve">A128:H128</t>
  </si>
  <si>
    <t xml:space="preserve">A129:H129</t>
  </si>
  <si>
    <t xml:space="preserve">A130:H130</t>
  </si>
  <si>
    <t xml:space="preserve">A131:H131</t>
  </si>
  <si>
    <t xml:space="preserve">A132:H132</t>
  </si>
  <si>
    <t xml:space="preserve">A133:H133</t>
  </si>
  <si>
    <t xml:space="preserve">A134:H134</t>
  </si>
  <si>
    <t xml:space="preserve">A135:H135</t>
  </si>
  <si>
    <t xml:space="preserve">A136:H136</t>
  </si>
  <si>
    <t xml:space="preserve">A137:H137</t>
  </si>
  <si>
    <t xml:space="preserve">A138:H138</t>
  </si>
  <si>
    <t xml:space="preserve">A139:H139</t>
  </si>
  <si>
    <t xml:space="preserve">A140:H140</t>
  </si>
  <si>
    <t xml:space="preserve">A141:H141</t>
  </si>
  <si>
    <t xml:space="preserve">A142:H142</t>
  </si>
  <si>
    <t xml:space="preserve">A143:H143</t>
  </si>
  <si>
    <t xml:space="preserve">A144:H144</t>
  </si>
  <si>
    <t xml:space="preserve">A145:H145</t>
  </si>
  <si>
    <t xml:space="preserve">A146:H146</t>
  </si>
  <si>
    <t xml:space="preserve">Yearly_Inputs</t>
  </si>
  <si>
    <t xml:space="preserve">H6</t>
  </si>
  <si>
    <t xml:space="preserve">By the client's year. SDP's 3 malls have about 380 outlets [R2][R3]; only high-energy shops qualify.</t>
  </si>
  <si>
    <t xml:space="preserve">C7:F7</t>
  </si>
  <si>
    <t xml:space="preserve">4</t>
  </si>
  <si>
    <t xml:space="preserve">2</t>
  </si>
  <si>
    <t xml:space="preserve">B7</t>
  </si>
  <si>
    <t xml:space="preserve">1</t>
  </si>
  <si>
    <t xml:space="preserve">H7</t>
  </si>
  <si>
    <t xml:space="preserve">By the client's year.</t>
  </si>
  <si>
    <t xml:space="preserve">H8</t>
  </si>
  <si>
    <t xml:space="preserve">Assumption, half in the first year. The least certain benefit; Customer_ROI also shows results without it.</t>
  </si>
  <si>
    <t xml:space="preserve">H9</t>
  </si>
  <si>
    <t xml:space="preserve">Y1 = SDP. Later: other township developers. Assumption.</t>
  </si>
  <si>
    <t xml:space="preserve">Pools</t>
  </si>
  <si>
    <t xml:space="preserve">C13:G13</t>
  </si>
  <si>
    <t xml:space="preserve">0.475</t>
  </si>
  <si>
    <t xml:space="preserve">=0.5*(1+(1-0.5/Assumptions!$B$137))/2</t>
  </si>
  <si>
    <t xml:space="preserve">A13</t>
  </si>
  <si>
    <t xml:space="preserve">EV: average share still invested (paid back evenly over 5 yrs)</t>
  </si>
  <si>
    <t xml:space="preserve">C14:G14</t>
  </si>
  <si>
    <t xml:space="preserve">=0.5/Assumptions!$B$137</t>
  </si>
  <si>
    <t xml:space="preserve">C31:G31</t>
  </si>
  <si>
    <t xml:space="preserve">=Assumptions!$B$24*Assumptions!$B$25*12-C29</t>
  </si>
  <si>
    <t xml:space="preserve">=C56*12-C29</t>
  </si>
  <si>
    <t xml:space="preserve">Safety margin per shop-year (repayment from savings − payout)</t>
  </si>
  <si>
    <t xml:space="preserve">C37:G37</t>
  </si>
  <si>
    <t xml:space="preserve">=C36*Assumptions!$B$30*Assumptions!$B$31</t>
  </si>
  <si>
    <t xml:space="preserve">=C36*EV_Pilot!$B$46*Assumptions!$B$31</t>
  </si>
  <si>
    <t xml:space="preserve">A37</t>
  </si>
  <si>
    <t xml:space="preserve">C40:G40</t>
  </si>
  <si>
    <t xml:space="preserve">=365*Assumptions!$B$35*(Assumptions!$B$32*(1-Assumptions!$B$33)-Assumptions!$B$11)-Assumptions!$B$34</t>
  </si>
  <si>
    <t xml:space="preserve">=EV_Pilot!$B$50</t>
  </si>
  <si>
    <t xml:space="preserve">A40</t>
  </si>
  <si>
    <t xml:space="preserve">Net charging profit per charger-year</t>
  </si>
  <si>
    <t xml:space="preserve">C41:G41</t>
  </si>
  <si>
    <t xml:space="preserve">=C39*C40*Assumptions!$B$31</t>
  </si>
  <si>
    <t xml:space="preserve">=C39*EV_Pilot!$B$54</t>
  </si>
  <si>
    <t xml:space="preserve">A41</t>
  </si>
  <si>
    <t xml:space="preserve">Residents' share of charging profit (before developer fee)</t>
  </si>
  <si>
    <t xml:space="preserve">C42:G42</t>
  </si>
  <si>
    <t xml:space="preserve">=C41*(1-Assumptions!$B$36)</t>
  </si>
  <si>
    <t xml:space="preserve">=C68*EV_Pilot!$B$56+C69*EV_Pilot!$B$57+C39*EV_Pilot!$B$65</t>
  </si>
  <si>
    <t xml:space="preserve">A42</t>
  </si>
  <si>
    <t xml:space="preserve">C50:G50</t>
  </si>
  <si>
    <t xml:space="preserve">=C18*Assumptions!$B$19+C27*Assumptions!$B$26+C42-C43</t>
  </si>
  <si>
    <t xml:space="preserve">=C18*Assumptions!$B$19+C27*Assumptions!$B$26-C59+C42-C43</t>
  </si>
  <si>
    <t xml:space="preserve">A50</t>
  </si>
  <si>
    <t xml:space="preserve">Residents' profit earned (approx.)</t>
  </si>
  <si>
    <t xml:space="preserve">A55:H55</t>
  </si>
  <si>
    <t xml:space="preserve">A56:H56</t>
  </si>
  <si>
    <t xml:space="preserve">A57:H57</t>
  </si>
  <si>
    <t xml:space="preserve">A58:H58</t>
  </si>
  <si>
    <t xml:space="preserve">Benefits</t>
  </si>
  <si>
    <t xml:space="preserve">C6:G6</t>
  </si>
  <si>
    <t xml:space="preserve">=Pools!C18*(Assumptions!$B$21-Assumptions!$B$19)*Assumptions!$B$14</t>
  </si>
  <si>
    <t xml:space="preserve">=Pools!C18*((Assumptions!$B$21-Assumptions!$B$19)*Assumptions!$B$14+Assumptions!$B$70)</t>
  </si>
  <si>
    <t xml:space="preserve">B6</t>
  </si>
  <si>
    <t xml:space="preserve">Residents' solar money × (8.5% JV return − 5% payout) × developer's JV share</t>
  </si>
  <si>
    <t xml:space="preserve">C7:G7</t>
  </si>
  <si>
    <t xml:space="preserve">=Pools!C28*Pools!C31*Assumptions!$B$28</t>
  </si>
  <si>
    <t xml:space="preserve">=Pools!C28*MAX(0,Pools!C31)*Assumptions!$B$28</t>
  </si>
  <si>
    <t xml:space="preserve">Shop-years × safety margin × developer's share</t>
  </si>
  <si>
    <t xml:space="preserve">C8:G8</t>
  </si>
  <si>
    <t xml:space="preserve">=Pools!C41*Assumptions!$B$36</t>
  </si>
  <si>
    <t xml:space="preserve">=Pools!C70-Pools!C71</t>
  </si>
  <si>
    <t xml:space="preserve">A8</t>
  </si>
  <si>
    <t xml:space="preserve">C. Fee from EV charging</t>
  </si>
  <si>
    <t xml:space="preserve">B8</t>
  </si>
  <si>
    <t xml:space="preserve">Residents' share of charging profit × developer fee</t>
  </si>
  <si>
    <t xml:space="preserve">C10:G10</t>
  </si>
  <si>
    <t xml:space="preserve">=SUM(C6:C9)</t>
  </si>
  <si>
    <t xml:space="preserve">=SUM(C6:C9)+C31</t>
  </si>
  <si>
    <t xml:space="preserve">A10</t>
  </si>
  <si>
    <t xml:space="preserve">Cash benefits (A to D)</t>
  </si>
  <si>
    <t xml:space="preserve">C11:G11</t>
  </si>
  <si>
    <t xml:space="preserve">=Assumptions!$B$13*Yearly_Inputs!$B$8</t>
  </si>
  <si>
    <t xml:space="preserve">=Assumptions!$B$13*Yearly_Inputs!$B$8*Assumptions!$B$64</t>
  </si>
  <si>
    <t xml:space="preserve">A11</t>
  </si>
  <si>
    <t xml:space="preserve">E. Community-programme saving</t>
  </si>
  <si>
    <t xml:space="preserve">B11</t>
  </si>
  <si>
    <t xml:space="preserve">Programme spend × saving rate (digital sign-up, QR check-in, auto reports)</t>
  </si>
  <si>
    <t xml:space="preserve">B15</t>
  </si>
  <si>
    <t xml:space="preserve">Payout profit on money invested</t>
  </si>
  <si>
    <t xml:space="preserve">C20:G20</t>
  </si>
  <si>
    <t xml:space="preserve">=SUM(Yearly_Inputs!$B$9:$B$9)</t>
  </si>
  <si>
    <t xml:space="preserve">=Yearly_Inputs!$B$9</t>
  </si>
  <si>
    <t xml:space="preserve">A21</t>
  </si>
  <si>
    <t xml:space="preserve">Cash benefits (A to D), all clients</t>
  </si>
  <si>
    <t xml:space="preserve">A28:H28</t>
  </si>
  <si>
    <t xml:space="preserve">Benefit A only counts the residents' share of each solar asset and only the developer's assumed share of the JV. Benefit E is the least certain; see Customer_ROI for results without it.</t>
  </si>
  <si>
    <t xml:space="preserve">A30:H30</t>
  </si>
  <si>
    <t xml:space="preserve">A31:H31</t>
  </si>
  <si>
    <t xml:space="preserve">A32:H32</t>
  </si>
  <si>
    <t xml:space="preserve">A33:H33</t>
  </si>
  <si>
    <t xml:space="preserve">Pricing_Income</t>
  </si>
  <si>
    <t xml:space="preserve">Top: one SDP-size client by its year on the platform. Bottom: all clients by calendar year.</t>
  </si>
  <si>
    <t xml:space="preserve">C6:D6</t>
  </si>
  <si>
    <t xml:space="preserve">=Assumptions!$B$38</t>
  </si>
  <si>
    <t xml:space="preserve">=Assumptions!$B$60</t>
  </si>
  <si>
    <t xml:space="preserve">A6</t>
  </si>
  <si>
    <t xml:space="preserve">A7</t>
  </si>
  <si>
    <t xml:space="preserve">Platform fee (waived in Year 1 pilot)</t>
  </si>
  <si>
    <t xml:space="preserve">C9</t>
  </si>
  <si>
    <t xml:space="preserve">=Pools!C45*Assumptions!$B$40</t>
  </si>
  <si>
    <t xml:space="preserve">=Pools!C45*Assumptions!$B$40*(1-Assumptions!$B$62)</t>
  </si>
  <si>
    <t xml:space="preserve">A9</t>
  </si>
  <si>
    <t xml:space="preserve">Success fee on money raised</t>
  </si>
  <si>
    <t xml:space="preserve">=C8+C11</t>
  </si>
  <si>
    <t xml:space="preserve">=C8+C11-C25</t>
  </si>
  <si>
    <t xml:space="preserve">SDP pays us (fixed + usage)</t>
  </si>
  <si>
    <t xml:space="preserve">C16:G16</t>
  </si>
  <si>
    <t xml:space="preserve">=Yearly_Inputs!$B$9*C8</t>
  </si>
  <si>
    <t xml:space="preserve">=Yearly_Inputs!$B$9*Yearly_Inputs!$B$10*C8</t>
  </si>
  <si>
    <t xml:space="preserve">A16</t>
  </si>
  <si>
    <t xml:space="preserve">Fixed fees (set-up + platform)</t>
  </si>
  <si>
    <t xml:space="preserve">C18:G18</t>
  </si>
  <si>
    <t xml:space="preserve">=C16+C17</t>
  </si>
  <si>
    <t xml:space="preserve">=C16+C17-C37</t>
  </si>
  <si>
    <t xml:space="preserve">A18</t>
  </si>
  <si>
    <t xml:space="preserve">Paid by developers</t>
  </si>
  <si>
    <t xml:space="preserve">=C18+C19</t>
  </si>
  <si>
    <t xml:space="preserve">=C18+C19+C38+C39+C40+C46</t>
  </si>
  <si>
    <t xml:space="preserve">A20</t>
  </si>
  <si>
    <t xml:space="preserve">Total income</t>
  </si>
  <si>
    <t xml:space="preserve">A23:H23</t>
  </si>
  <si>
    <t xml:space="preserve">A24:H24</t>
  </si>
  <si>
    <t xml:space="preserve">A25:H25</t>
  </si>
  <si>
    <t xml:space="preserve">A26:H26</t>
  </si>
  <si>
    <t xml:space="preserve">A27:H27</t>
  </si>
  <si>
    <t xml:space="preserve">A29:H29</t>
  </si>
  <si>
    <t xml:space="preserve">A34:H34</t>
  </si>
  <si>
    <t xml:space="preserve">A35:H35</t>
  </si>
  <si>
    <t xml:space="preserve">A36:H36</t>
  </si>
  <si>
    <t xml:space="preserve">A37:H37</t>
  </si>
  <si>
    <t xml:space="preserve">A38:H38</t>
  </si>
  <si>
    <t xml:space="preserve">A39:H39</t>
  </si>
  <si>
    <t xml:space="preserve">A40:H40</t>
  </si>
  <si>
    <t xml:space="preserve">A42:H42</t>
  </si>
  <si>
    <t xml:space="preserve">A43:H43</t>
  </si>
  <si>
    <t xml:space="preserve">A44:H44</t>
  </si>
  <si>
    <t xml:space="preserve">A45:H45</t>
  </si>
  <si>
    <t xml:space="preserve">A46:H46</t>
  </si>
  <si>
    <t xml:space="preserve">Customer_ROI</t>
  </si>
  <si>
    <t xml:space="preserve">Developer's benefit minus what the developer pays us. Shops' redemption fee is not counted (shops pay it from extra sales).</t>
  </si>
  <si>
    <t xml:space="preserve">Paid to us</t>
  </si>
  <si>
    <t xml:space="preserve">Net gain WITHOUT community-programme saving (cash only)</t>
  </si>
  <si>
    <t xml:space="preserve">=IF(C7=0,"",C6/C7)</t>
  </si>
  <si>
    <t xml:space="preserve">=IF(C7&lt;=0,"n/a",C6/C7)</t>
  </si>
  <si>
    <t xml:space="preserve">C15:G15</t>
  </si>
  <si>
    <t xml:space="preserve">=Pricing_Income!C8+Pricing_Income!C11*Yearly_Inputs!$C$10</t>
  </si>
  <si>
    <t xml:space="preserve">=(Pricing_Income!C8+Pricing_Income!C11)*Yearly_Inputs!$C$10-Pricing_Income!C26</t>
  </si>
  <si>
    <t xml:space="preserve">A17</t>
  </si>
  <si>
    <t xml:space="preserve">Spendings</t>
  </si>
  <si>
    <t xml:space="preserve">Lean team; cloud cost grows with each client.</t>
  </si>
  <si>
    <t xml:space="preserve">C6</t>
  </si>
  <si>
    <t xml:space="preserve">=Assumptions!$B$44*Assumptions!$B$45*12*(1+Assumptions!$B$46)</t>
  </si>
  <si>
    <t xml:space="preserve">=Assumptions!$B$44*Assumptions!$B$45*12*(1+Assumptions!$B$46)*Assumptions!$B$84</t>
  </si>
  <si>
    <t xml:space="preserve">Founders' pay</t>
  </si>
  <si>
    <t xml:space="preserve">People × salary × 12 × (1 + EPF/SOCSO/EIS)</t>
  </si>
  <si>
    <t xml:space="preserve">C7</t>
  </si>
  <si>
    <t xml:space="preserve">=Assumptions!$B$47*Assumptions!$B$48</t>
  </si>
  <si>
    <t xml:space="preserve">=Assumptions!$B$47*Assumptions!$B$48*Assumptions!$B$85</t>
  </si>
  <si>
    <t xml:space="preserve">Contract developer (build Year 1)</t>
  </si>
  <si>
    <t xml:space="preserve">Months × monthly rate</t>
  </si>
  <si>
    <t xml:space="preserve">B9</t>
  </si>
  <si>
    <t xml:space="preserve">From Assumptions</t>
  </si>
  <si>
    <t xml:space="preserve">D13:G13</t>
  </si>
  <si>
    <t xml:space="preserve">=Yearly_Inputs!$C$9*Assumptions!$B$57</t>
  </si>
  <si>
    <t xml:space="preserve">=Yearly_Inputs!$C$9*Assumptions!$B$86</t>
  </si>
  <si>
    <t xml:space="preserve">B13</t>
  </si>
  <si>
    <t xml:space="preserve">New clients × cost per client</t>
  </si>
  <si>
    <t xml:space="preserve">A16:H16</t>
  </si>
  <si>
    <t xml:space="preserve">A17:H17</t>
  </si>
  <si>
    <t xml:space="preserve">A18:H18</t>
  </si>
  <si>
    <t xml:space="preserve">ROI</t>
  </si>
  <si>
    <t xml:space="preserve">Paid by developers to us</t>
  </si>
  <si>
    <t xml:space="preserve">Our total income (incl. shop redemption fees)</t>
  </si>
  <si>
    <t xml:space="preserve">C12:G12</t>
  </si>
  <si>
    <t xml:space="preserve">=IF(C8=0,"",C10/C8)</t>
  </si>
  <si>
    <t xml:space="preserve">=IF(C8&lt;=0,"n/a",C10/C8)</t>
  </si>
  <si>
    <t xml:space="preserve">A33</t>
  </si>
  <si>
    <t xml:space="preserve">NPV brings each year's profit or loss back to today's value using the discount rate on Assumptions.</t>
  </si>
  <si>
    <t xml:space="preserve">Summary</t>
  </si>
  <si>
    <t xml:space="preserve">A3</t>
  </si>
  <si>
    <t xml:space="preserve">SDP University Hackathon 2026 · Theme: Planet · We run the platform; township developers pay to use it.</t>
  </si>
  <si>
    <t xml:space="preserve">A4</t>
  </si>
  <si>
    <t xml:space="preserve">Three business lines on one platform: (1) Rooftop solar pool  (2) Shop energy-upgrade pool  (3) EV charging pool.</t>
  </si>
  <si>
    <t xml:space="preserve">A5:H5</t>
  </si>
  <si>
    <t xml:space="preserve">C6:E6</t>
  </si>
  <si>
    <t xml:space="preserve">Our 5-year net profit (RM)</t>
  </si>
  <si>
    <t xml:space="preserve">Our first profitable year</t>
  </si>
  <si>
    <t xml:space="preserve">=ROI!C16</t>
  </si>
  <si>
    <t xml:space="preserve">=ROI!C18</t>
  </si>
  <si>
    <t xml:space="preserve">C9:E9</t>
  </si>
  <si>
    <t xml:space="preserve">Developer ROI (5-yr)</t>
  </si>
  <si>
    <t xml:space="preserve">SDP net gain in Year 1 (RM)</t>
  </si>
  <si>
    <t xml:space="preserve">C10:E10</t>
  </si>
  <si>
    <t xml:space="preserve">=ROI!C17</t>
  </si>
  <si>
    <t xml:space="preserve">=Customer_ROI!C8</t>
  </si>
  <si>
    <t xml:space="preserve">A11:H11</t>
  </si>
  <si>
    <t xml:space="preserve">C12:E12</t>
  </si>
  <si>
    <t xml:space="preserve">Residents' profit, 5 yrs (RM)</t>
  </si>
  <si>
    <t xml:space="preserve">Resident investments made, 5 yrs</t>
  </si>
  <si>
    <t xml:space="preserve">A12</t>
  </si>
  <si>
    <t xml:space="preserve">C13:E13</t>
  </si>
  <si>
    <t xml:space="preserve">="Discount rate "&amp;TEXT(Assumptions!$B$58,"0%")&amp;" · ROI = (gain − cost) ÷ cost · Customer = benefit to developers minus what they pay us (Customer_ROI has SDP alone)."</t>
  </si>
  <si>
    <t xml:space="preserve">=SUM(Benefits!C25:G25)</t>
  </si>
  <si>
    <t xml:space="preserve">=SUM(Benefits!C26:G26)</t>
  </si>
  <si>
    <t xml:space="preserve">•  Residents put small amounts (from RM100) into three green pools on the developer's own assets. Shops and EV drivers pay for the power, savings or charging; residents get monthly payouts.</t>
  </si>
  <si>
    <t xml:space="preserve">•  SDP gains from Year 1 because we keep Year 1 cheap: low set-up fee, platform fee waived. Most of SDP's Year 1–2 gain is the community-programme saving; on cash alone SDP roughly breaks even in Years 1–2 and gains from Year 3 (see Customer_ROI).</t>
  </si>
  <si>
    <t xml:space="preserve">•  We lose money in Year 1 while building and earn from Year 2. Year 2 profit is thin and needs two more developers signed that year; it grows from Year 3 as clients and money invested grow.</t>
  </si>
  <si>
    <t xml:space="preserve">A19</t>
  </si>
  <si>
    <t xml:space="preserve">•  SDP alone cannot cover our costs. The business depends on offering the same platform to other township developers.</t>
  </si>
  <si>
    <t xml:space="preserve">•  Returns to residents are not guaranteed. Solar is low risk, shop upgrades medium, EV charging high. Money is held by a licensed platform, not by us.</t>
  </si>
  <si>
    <t xml:space="preserve">A23</t>
  </si>
  <si>
    <t xml:space="preserve">="Set-up fee RM"&amp;TEXT(Assumptions!$B$38,"#,##0")&amp;" (RM"&amp;TEXT(Assumptions!$B$60,"#,##0")&amp;" in Year 1, RM"&amp;TEXT(Assumptions!$B$61,"#,##0")&amp;" in Year 2) · Platform fee RM"&amp;TEXT(Assumptions!$B$39,"#,##0")&amp;" a year from Year 2 · Success fee "&amp;TEXT(Assumptions!$B$40,"0.00%")&amp;" (waived in Year 1) · "&amp;TEXT(Assumptions!$B$41,"0.0%")&amp;" a year on money invested · "&amp;TEXT(Assumptions!$B$42,"0%")&amp;" on mall redemptions · smaller developers pay pro rata"</t>
  </si>
  <si>
    <t xml:space="preserve">="Set-up fee RM"&amp;TEXT(Assumptions!$B$38,"#,##0")&amp;" · Platform fee RM"&amp;TEXT(Assumptions!$B$39,"#,##0")&amp;" a year from Year 2 · Success fee "&amp;TEXT(Assumptions!$B$40,"0.00%")&amp;" of money raised · "&amp;TEXT(Assumptions!$B$41,"0.0%")&amp;" a year on money invested · "&amp;TEXT(Assumptions!$B$42,"0%")&amp;" on mall redemptions (paid by shops)"</t>
  </si>
  <si>
    <t xml:space="preserve">New sheets in v2: Scenarios, Investor_ROI, Conservative_Test, C_Pools, C_Benefits, C_Pricing_Income, C_Customer_ROI, C_Spendings, C_ROI, Change_Log. Dashboard gained a normal vs conservative chart; References gained R21–R23.</t>
  </si>
  <si>
    <t xml:space="preserve">References</t>
  </si>
  <si>
    <t xml:space="preserve">Numbers in [Rn] on the Assumptions sheet point here. Checked October 2026.</t>
  </si>
  <si>
    <t xml:space="preserve">Ref</t>
  </si>
  <si>
    <t xml:space="preserve">What it supports</t>
  </si>
  <si>
    <t xml:space="preserve">Link</t>
  </si>
  <si>
    <t xml:space="preserve">R1</t>
  </si>
  <si>
    <t xml:space="preserve">The Edge Malaysia – SDP and GSPARX JV: 14 assets, up to 4.5 MW, 20 MW in 5 years, 50 MW in 15 years</t>
  </si>
  <si>
    <t xml:space="preserve">https://theedgemalaysia.com/node/718600</t>
  </si>
  <si>
    <t xml:space="preserve">R2</t>
  </si>
  <si>
    <t xml:space="preserve">StarProperty – KLGCC Mall, SDP's third wholly-owned mall after KL East Mall and Elmina Lakeside Mall</t>
  </si>
  <si>
    <t xml:space="preserve">https://www.starproperty.my/news/klgcc-mall-gains-85-committed-occupancy-ahead-of-soft-opening/132620</t>
  </si>
  <si>
    <t xml:space="preserve">R3</t>
  </si>
  <si>
    <t xml:space="preserve">StarProperty – KL East Mall: 384,210 sq ft NLA, 200 outlets</t>
  </si>
  <si>
    <t xml:space="preserve">https://www.starproperty.my/news/property-news/kl-east-mall-announces-line-up-of-key-tenants/115980</t>
  </si>
  <si>
    <t xml:space="preserve">R4</t>
  </si>
  <si>
    <t xml:space="preserve">Trexon – EV charger installation cost Malaysia 2026 (DC 60 kW RM60,000–80,000)</t>
  </si>
  <si>
    <t xml:space="preserve">https://trexon.my/blog/ev-charger-installation-cost-malaysia-2026</t>
  </si>
  <si>
    <t xml:space="preserve">R5</t>
  </si>
  <si>
    <t xml:space="preserve">Trexon – Solar cost Malaysia 2026 (commercial about RM2.80/W; 100 kWp gives 120,000–140,000 kWh a year)</t>
  </si>
  <si>
    <t xml:space="preserve">https://trexon.my/solar-cost</t>
  </si>
  <si>
    <t xml:space="preserve">R6</t>
  </si>
  <si>
    <t xml:space="preserve">The Edge Malaysia – The lure of small-scale solar (PPAs about 15% below tariff; mid to high single-digit IRR)</t>
  </si>
  <si>
    <t xml:space="preserve">https://theedgemalaysia.com/article/lure-smallscale-solar.</t>
  </si>
  <si>
    <t xml:space="preserve">R7</t>
  </si>
  <si>
    <t xml:space="preserve">MAESCO – ESCO shared-savings cases in Malaysia (80:20 and 75:25)</t>
  </si>
  <si>
    <t xml:space="preserve">https://ibfimonline.com/wp-content/uploads/2020/09/EE-Sector-Role-of-MAESCO-in-Developing-Financially-Viable-EE-Project-by-MAESCO.pdf</t>
  </si>
  <si>
    <t xml:space="preserve">R8</t>
  </si>
  <si>
    <t xml:space="preserve">Business Today – New tariff: average base tariff 45.4 sen/kWh from July 2025 (HLIB)</t>
  </si>
  <si>
    <t xml:space="preserve">https://www.businesstoday.com.my/2025/07/02/new-tariff-could-ease-tnbs-elevated-capital-expenditure-plans-hlib/</t>
  </si>
  <si>
    <t xml:space="preserve">R9</t>
  </si>
  <si>
    <t xml:space="preserve">Energy Commission – Grid Emission Factor in Malaysia 2022–2024 (provisional), published 23 Feb 2026</t>
  </si>
  <si>
    <t xml:space="preserve">https://myenergystats.st.gov.my/documents/d/guest/grid-emission-factor-gef-in-malaysia-2022-2024-provisional-</t>
  </si>
  <si>
    <t xml:space="preserve">R10</t>
  </si>
  <si>
    <t xml:space="preserve">RinggitPlus – ChargeSini DC rates: 60–80 kW chargers RM1.29/kWh (Sept 2026)</t>
  </si>
  <si>
    <t xml:space="preserve">https://ringgitplus.com/en/blog/personal-finance-news/chargesinis-dc-rates-now-start-from-rm1-19.html</t>
  </si>
  <si>
    <t xml:space="preserve">R11</t>
  </si>
  <si>
    <t xml:space="preserve">ABM – Fixed deposit board rates as at 15 Aug 2026</t>
  </si>
  <si>
    <t xml:space="preserve">https://www.abm.org.my/wp-content/uploads/2026/08/website-FD-Rates-as-at-15-Aug-2026.pdf</t>
  </si>
  <si>
    <t xml:space="preserve">R12</t>
  </si>
  <si>
    <t xml:space="preserve">Sime Darby Property – Integrated Report 2024 key highlights (RM20.8 million community spend; 9 rooftop PV, 603 kWp)</t>
  </si>
  <si>
    <t xml:space="preserve">https://simedarbyproperty.com/annualreport2024/download/sdp-ir2024-key-highlights.pdf</t>
  </si>
  <si>
    <t xml:space="preserve">R13</t>
  </si>
  <si>
    <t xml:space="preserve">D&amp;H – 8 things to be aware of before renting that mall space (turnover rent example 1% of gross sales)</t>
  </si>
  <si>
    <t xml:space="preserve">https://dnh.com.my/8-things-to-be-aware-of-before-renting-that-mall-space/</t>
  </si>
  <si>
    <t xml:space="preserve">R14</t>
  </si>
  <si>
    <t xml:space="preserve">Eco-Business – Sunway Pyramid mall cuts RM3 million a year in energy cost</t>
  </si>
  <si>
    <t xml:space="preserve">https://www.eco-business.com/id/press-releases/malaysias-sunway-pyramid-mall-cuts-rm3-million-in-annual-energy-cost-for-seven-consecutive-years-with-johnson-controls-technology/</t>
  </si>
  <si>
    <t xml:space="preserve">R15</t>
  </si>
  <si>
    <t xml:space="preserve">pitchIN – Raise funds (success fee based on amount raised)</t>
  </si>
  <si>
    <t xml:space="preserve">https://www.pitchin.my/raise</t>
  </si>
  <si>
    <t xml:space="preserve">R16</t>
  </si>
  <si>
    <t xml:space="preserve">SecondTalent – Malaysia developer rate card, Aug 2026 (junior RM3,000–5,500; mid RM5,500–9,000 a month)</t>
  </si>
  <si>
    <t xml:space="preserve">https://www.secondtalent.com/developer-rate-card/malaysia/</t>
  </si>
  <si>
    <t xml:space="preserve">R17</t>
  </si>
  <si>
    <t xml:space="preserve">AJobThing – EPF, SOCSO, EIS contribution 2026 (employer 13%, 1.75%, 0.2%)</t>
  </si>
  <si>
    <t xml:space="preserve">https://www.ajobthing.com/resources/blog/epf-socso-eis-contribution-2026-latest-rates-rules-employer-guide-malaysia</t>
  </si>
  <si>
    <t xml:space="preserve">R18</t>
  </si>
  <si>
    <t xml:space="preserve">Automation Atlas – Supabase pricing 2026 (Pro US$25 per project a month)</t>
  </si>
  <si>
    <t xml:space="preserve">https://automationatlas.io/answers/supabase-pricing-explained-2026/</t>
  </si>
  <si>
    <t xml:space="preserve">R19</t>
  </si>
  <si>
    <t xml:space="preserve">MakerKit – Vercel cost 2026 (Pro US$20 per seat a month)</t>
  </si>
  <si>
    <t xml:space="preserve">https://makerkit.dev/blog/saas/vercel-cost</t>
  </si>
  <si>
    <t xml:space="preserve">R20</t>
  </si>
  <si>
    <t xml:space="preserve">Team solar financial model (Township_Green_Loop_Financial_Model.xlsx): 320 kWp roof, 30% resident share, 5% payout, project IRR 8.5%, DSCR 1.83x</t>
  </si>
  <si>
    <t xml:space="preserve">Internal</t>
  </si>
  <si>
    <t xml:space="preserve">R21</t>
  </si>
  <si>
    <t xml:space="preserve">Trexon – ESCO / energy performance contracting: a minimum-savings clause makes the ESCO cover a shortfall</t>
  </si>
  <si>
    <t xml:space="preserve">https://trexon.my/solutions/esco</t>
  </si>
  <si>
    <t xml:space="preserve">R22</t>
  </si>
  <si>
    <t xml:space="preserve">S&amp;P Global – Malaysian solar I-REC demand rises (Platts assessment US$3.45/MWh, 24 Apr 2026)</t>
  </si>
  <si>
    <t xml:space="preserve">https://www.spglobal.com/energy/en/news-research/latest-news/energy-transition/042426-malaysian-solar-i-rec-demand-rises-on-afa-expectations-singapore-preference</t>
  </si>
  <si>
    <t xml:space="preserve">R23</t>
  </si>
  <si>
    <t xml:space="preserve">Cradle – CIP Spark conditional grant, up to RM150,000 for early-stage tech companies</t>
  </si>
  <si>
    <t xml:space="preserve">https://cradle.com.my/cip-spark/</t>
  </si>
  <si>
    <t xml:space="preserve">R24</t>
  </si>
  <si>
    <t xml:space="preserve">Capital Markets Malaysia (SC) – ECF limits: retail investors up to RM5,000 per company and RM50,000 in 12 months</t>
  </si>
  <si>
    <t xml:space="preserve">https://www.capitalmarketsmalaysia.com/digital-equity-crowdfunding-ecf/</t>
  </si>
  <si>
    <t xml:space="preserve">R25</t>
  </si>
  <si>
    <t xml:space="preserve">SoyaCincau, 18 Jul 2026 – ChargEV at AEON Mall Cheras Selatan: 60 kW DC RM1.40/kWh, 180 kW DC RM1.60/kWh, 22 kW AC RM1.00/kWh</t>
  </si>
  <si>
    <t xml:space="preserve">https://soyacincau.com/2026/07/18/chargev-aeon-mall-cheras-selatan-level-2-ev-charger/</t>
  </si>
  <si>
    <t xml:space="preserve">R26</t>
  </si>
  <si>
    <t xml:space="preserve">MARii – EVCS Development Programme FAQ (2026): matching grant up to 50% per charging unit, max RM50,000 per unit, RM500,000 per company</t>
  </si>
  <si>
    <t xml:space="preserve">https://marii.my/wp-content/uploads/2026/04/NEW-FAQ-EVCS.pdf</t>
  </si>
  <si>
    <t xml:space="preserve">R27</t>
  </si>
  <si>
    <t xml:space="preserve">Malaysia4u EV charging guide, May 2026 – Gentari DC RM1.60–1.80, AC RM1.00–1.15, idle fee RM0.40/min after 15 min, off-peak trial RM1.36</t>
  </si>
  <si>
    <t xml:space="preserve">https://malaysia4u.com/ev-charging-guide</t>
  </si>
  <si>
    <t xml:space="preserve">R28</t>
  </si>
  <si>
    <t xml:space="preserve">PlusXnergy – July 2025 TNB tariff, LV non-domestic: energy 27.03 + capacity 8.83 + network 14.82 sen/kWh</t>
  </si>
  <si>
    <t xml:space="preserve">https://www.plusxnergy.com/?p=2574</t>
  </si>
  <si>
    <t xml:space="preserve">R29</t>
  </si>
  <si>
    <t xml:space="preserve">Trexon – TNB medium-voltage tariff (RP4): MV General maximum-demand charge RM89.27/kW (capacity 29.43 + network 59.84)</t>
  </si>
  <si>
    <t xml:space="preserve">https://trexon.my/guides/tnb-medium-voltage-tariff-rp4</t>
  </si>
  <si>
    <t xml:space="preserve">R30</t>
  </si>
  <si>
    <t xml:space="preserve">TÜV Rheinland – summary of the Energy Commission Guidelines on EV Charging Systems, 2025 edition (17 Mar 2025)</t>
  </si>
  <si>
    <t xml:space="preserve">https://www.tuv.com/regulations-and-standards/en/malaysia-guidelines-on-electric-vehicle-charging-system-evcs.html</t>
  </si>
  <si>
    <t xml:space="preserve">R31</t>
  </si>
  <si>
    <t xml:space="preserve">FMT, 30 Oct 2025 – high costs and approvals over 6 months slow chargers; 1,709 DC and 3,440 AC public units</t>
  </si>
  <si>
    <t xml:space="preserve">https://fmtv5.freemalaysiatoday.com/category/nation/2025/10/30/high-costs-slow-approvals-stall-malaysias-ev-charger-target</t>
  </si>
  <si>
    <t xml:space="preserve">R32</t>
  </si>
  <si>
    <t xml:space="preserve">Hypercharge – charger running costs: about US$1,800 a year for a DC fast charger, US$400 for Level 2 (US benchmark)</t>
  </si>
  <si>
    <t xml:space="preserve">https://hypercharge.com/blog/how-much-does-it-cost-to-operate-ev-charging-stations-for-apartments-condos-and-businesses/</t>
  </si>
  <si>
    <t xml:space="preserve">R33</t>
  </si>
  <si>
    <t xml:space="preserve">MIDA, Nov 2024 – GITA 100% for 5 years for charge point operators; income tax exemption 2023–2032 for EV charging equipment makers</t>
  </si>
  <si>
    <t xml:space="preserve">https://www.mida.gov.my/mida-news/government-bolsters-ev-charging-infrastructure-development-with-key-incentives/</t>
  </si>
  <si>
    <t xml:space="preserve">R34</t>
  </si>
  <si>
    <t xml:space="preserve">SAYS – individual tax relief up to RM2,500 for EV charging facilities</t>
  </si>
  <si>
    <t xml:space="preserve">https://says.com/my/tech/ev-tax-filing-lhdn</t>
  </si>
  <si>
    <t xml:space="preserve">R35</t>
  </si>
  <si>
    <t xml:space="preserve">Energy Commission media release – CREAM community access charge cut from 15 to 9 sen/kWh</t>
  </si>
  <si>
    <t xml:space="preserve">https://www.st.gov.my/contents/2025/CREAM/siaran_mediaeng.pdf</t>
  </si>
  <si>
    <t xml:space="preserve">R36</t>
  </si>
  <si>
    <t xml:space="preserve">Business Today, 28 Apr 2025 – SDP is Malaysia's first LEGA under CREAM, leasing rooftops in Elmina with TNB's GSPARX</t>
  </si>
  <si>
    <t xml:space="preserve">https://www.businesstoday.com.my/2025/04/28/sdp-tnb-launch-nations-first-community-solar-aggregation-at-elmina/</t>
  </si>
  <si>
    <t xml:space="preserve">R37</t>
  </si>
  <si>
    <t xml:space="preserve">EdgeProp, Sept 2025 – CREAM residential pilot in City of Elmina: 6,000+ homes, homeowners lease roofs, Innovation Park first off-taker</t>
  </si>
  <si>
    <t xml:space="preserve">https://api.edgeprop.my/content/1913891/sime-darby-property-launches-nation’s-first-residential-solar-project</t>
  </si>
  <si>
    <t xml:space="preserve">R38</t>
  </si>
  <si>
    <t xml:space="preserve">Trexon – solar cost guide 2026: commercial 50–100 kWp from RM2,400/kWp before SST</t>
  </si>
  <si>
    <t xml:space="preserve">https://trexon.my/guides/solar-panel-cost-malaysia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</si>
</sst>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%"/>
    <numFmt numFmtId="166" formatCode="&quot;RM&quot;#,##0;&quot;(RM&quot;#,##0\);\-"/>
    <numFmt numFmtId="167" formatCode="#,##0;\(#,##0\);\-"/>
    <numFmt numFmtId="168" formatCode="@"/>
    <numFmt numFmtId="169" formatCode="0.00%;\(0.00%\);\-"/>
    <numFmt numFmtId="170" formatCode="0.0%;\(0.0%\);\-"/>
    <numFmt numFmtId="171" formatCode="0"/>
    <numFmt numFmtId="172" formatCode="0.000"/>
    <numFmt numFmtId="173" formatCode="#,##0.00;\(#,##0.00\);\-"/>
    <numFmt numFmtId="174" formatCode="0.00"/>
    <numFmt numFmtId="175" formatCode="0.0000"/>
    <numFmt numFmtId="176" formatCode="#,##0.0;\(#,##0.0\);\-"/>
    <numFmt numFmtId="177" formatCode="0.0\x"/>
    <numFmt numFmtId="178" formatCode="0.00\x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595959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0563C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CE6F1"/>
        <bgColor rgb="FFD9E1F2"/>
      </patternFill>
    </fill>
    <fill>
      <patternFill patternType="solid">
        <fgColor rgb="FFE2EFDA"/>
        <bgColor rgb="FFDCE6F1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F2F2F2"/>
      </patternFill>
    </fill>
    <fill>
      <patternFill patternType="solid">
        <fgColor rgb="FFD9E1F2"/>
        <bgColor rgb="FFDCE6F1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1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2F2F2"/>
      <rgbColor rgb="FFDCE6F1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99CCFF"/>
      <rgbColor rgb="FFFF99CC"/>
      <rgbColor rgb="FFCC99FF"/>
      <rgbColor rgb="FFFCE4D6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Our income vs spend (RM)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Dashboard!B3</c:f>
              <c:strCache>
                <c:ptCount val="1"/>
                <c:pt idx="0">
                  <c:v>Our income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Dashboard!$A$4:$A$8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Dashboard!$B$4:$B$8</c:f>
              <c:numCache>
                <c:formatCode>#,##0;\(#,##0\);\-</c:formatCode>
                <c:ptCount val="5"/>
                <c:pt idx="0">
                  <c:v>39926.504549484</c:v>
                </c:pt>
                <c:pt idx="1">
                  <c:v>249652.354515831</c:v>
                </c:pt>
                <c:pt idx="2">
                  <c:v>499086.173423819</c:v>
                </c:pt>
                <c:pt idx="3">
                  <c:v>782063.569739308</c:v>
                </c:pt>
                <c:pt idx="4">
                  <c:v>1087212.55135344</c:v>
                </c:pt>
              </c:numCache>
            </c:numRef>
          </c:val>
        </c:ser>
        <c:ser>
          <c:idx val="1"/>
          <c:order val="1"/>
          <c:tx>
            <c:strRef>
              <c:f>Dashboard!C3</c:f>
              <c:strCache>
                <c:ptCount val="1"/>
                <c:pt idx="0">
                  <c:v>Our spend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Dashboard!$A$4:$A$8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Dashboard!$C$4:$C$8</c:f>
              <c:numCache>
                <c:formatCode>#,##0;\(#,##0\);\-</c:formatCode>
                <c:ptCount val="5"/>
                <c:pt idx="0">
                  <c:v>126008</c:v>
                </c:pt>
                <c:pt idx="1">
                  <c:v>157424</c:v>
                </c:pt>
                <c:pt idx="2">
                  <c:v>274622</c:v>
                </c:pt>
                <c:pt idx="3">
                  <c:v>277262</c:v>
                </c:pt>
                <c:pt idx="4">
                  <c:v>388460</c:v>
                </c:pt>
              </c:numCache>
            </c:numRef>
          </c:val>
        </c:ser>
        <c:gapWidth val="150"/>
        <c:overlap val="0"/>
        <c:axId val="65716270"/>
        <c:axId val="3973411"/>
      </c:barChart>
      <c:catAx>
        <c:axId val="657162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3411"/>
        <c:crosses val="autoZero"/>
        <c:auto val="1"/>
        <c:lblAlgn val="ctr"/>
        <c:lblOffset val="100"/>
        <c:noMultiLvlLbl val="0"/>
      </c:catAx>
      <c:valAx>
        <c:axId val="39734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7162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Our cumulative net (RM)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Dashboard!D3</c:f>
              <c:strCache>
                <c:ptCount val="1"/>
                <c:pt idx="0">
                  <c:v>Our cumulative net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Dashboard!$A$4:$A$8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Dashboard!$D$4:$D$8</c:f>
              <c:numCache>
                <c:formatCode>#,##0;\(#,##0\);\-</c:formatCode>
                <c:ptCount val="5"/>
                <c:pt idx="0">
                  <c:v>-86081.495450516</c:v>
                </c:pt>
                <c:pt idx="1">
                  <c:v>6146.85906531508</c:v>
                </c:pt>
                <c:pt idx="2">
                  <c:v>230611.032489134</c:v>
                </c:pt>
                <c:pt idx="3">
                  <c:v>735412.602228443</c:v>
                </c:pt>
                <c:pt idx="4">
                  <c:v>1434165.15358188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1576335"/>
        <c:axId val="36052634"/>
      </c:lineChart>
      <c:catAx>
        <c:axId val="6157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052634"/>
        <c:crosses val="autoZero"/>
        <c:auto val="1"/>
        <c:lblAlgn val="ctr"/>
        <c:lblOffset val="100"/>
        <c:noMultiLvlLbl val="0"/>
      </c:catAx>
      <c:valAx>
        <c:axId val="360526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5763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SDP: benefit vs what it pays us (RM)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Dashboard!E3</c:f>
              <c:strCache>
                <c:ptCount val="1"/>
                <c:pt idx="0">
                  <c:v>SDP benefit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Dashboard!$A$4:$A$8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Dashboard!$E$4:$E$8</c:f>
              <c:numCache>
                <c:formatCode>#,##0;\(#,##0\);\-</c:formatCode>
                <c:ptCount val="5"/>
                <c:pt idx="0">
                  <c:v>157144.649685883</c:v>
                </c:pt>
                <c:pt idx="1">
                  <c:v>366005.982834205</c:v>
                </c:pt>
                <c:pt idx="2">
                  <c:v>468163.141744917</c:v>
                </c:pt>
                <c:pt idx="3">
                  <c:v>565002.770686696</c:v>
                </c:pt>
                <c:pt idx="4">
                  <c:v>638875.693663814</c:v>
                </c:pt>
              </c:numCache>
            </c:numRef>
          </c:val>
        </c:ser>
        <c:ser>
          <c:idx val="1"/>
          <c:order val="1"/>
          <c:tx>
            <c:strRef>
              <c:f>Dashboard!F3</c:f>
              <c:strCache>
                <c:ptCount val="1"/>
                <c:pt idx="0">
                  <c:v>SDP pays us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Dashboard!$A$4:$A$8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Dashboard!$F$4:$F$8</c:f>
              <c:numCache>
                <c:formatCode>#,##0;\(#,##0\);\-</c:formatCode>
                <c:ptCount val="5"/>
                <c:pt idx="0">
                  <c:v>20000</c:v>
                </c:pt>
                <c:pt idx="1">
                  <c:v>150704.960391316</c:v>
                </c:pt>
                <c:pt idx="2">
                  <c:v>139532.718292935</c:v>
                </c:pt>
                <c:pt idx="3">
                  <c:v>160785.375541162</c:v>
                </c:pt>
                <c:pt idx="4">
                  <c:v>172810.660705171</c:v>
                </c:pt>
              </c:numCache>
            </c:numRef>
          </c:val>
        </c:ser>
        <c:gapWidth val="150"/>
        <c:overlap val="0"/>
        <c:axId val="18598093"/>
        <c:axId val="22369440"/>
      </c:barChart>
      <c:catAx>
        <c:axId val="185980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369440"/>
        <c:crosses val="autoZero"/>
        <c:auto val="1"/>
        <c:lblAlgn val="ctr"/>
        <c:lblOffset val="100"/>
        <c:noMultiLvlLbl val="0"/>
      </c:catAx>
      <c:valAx>
        <c:axId val="223694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5980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Our net profit: normal vs conservative (RM)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Dashboard!G3</c:f>
              <c:strCache>
                <c:ptCount val="1"/>
                <c:pt idx="0">
                  <c:v>Our net (normal)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Dashboard!$A$4:$A$8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Dashboard!$G$4:$G$8</c:f>
              <c:numCache>
                <c:formatCode>#,##0;\(#,##0\);\-</c:formatCode>
                <c:ptCount val="5"/>
                <c:pt idx="0">
                  <c:v>-86081.495450516</c:v>
                </c:pt>
                <c:pt idx="1">
                  <c:v>92228.3545158311</c:v>
                </c:pt>
                <c:pt idx="2">
                  <c:v>224464.173423819</c:v>
                </c:pt>
                <c:pt idx="3">
                  <c:v>504801.569739308</c:v>
                </c:pt>
                <c:pt idx="4">
                  <c:v>698752.551353436</c:v>
                </c:pt>
              </c:numCache>
            </c:numRef>
          </c:val>
        </c:ser>
        <c:ser>
          <c:idx val="1"/>
          <c:order val="1"/>
          <c:tx>
            <c:strRef>
              <c:f>Dashboard!H3</c:f>
              <c:strCache>
                <c:ptCount val="1"/>
                <c:pt idx="0">
                  <c:v>Our net (conservative)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Dashboard!$A$4:$A$8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Dashboard!$H$4:$H$8</c:f>
              <c:numCache>
                <c:formatCode>#,##0;\(#,##0\);\-</c:formatCode>
                <c:ptCount val="5"/>
                <c:pt idx="0">
                  <c:v>-107596.283524886</c:v>
                </c:pt>
                <c:pt idx="1">
                  <c:v>5033.9555125722</c:v>
                </c:pt>
                <c:pt idx="2">
                  <c:v>47108.1522291173</c:v>
                </c:pt>
                <c:pt idx="3">
                  <c:v>83647.0215736097</c:v>
                </c:pt>
                <c:pt idx="4">
                  <c:v>102979.067889564</c:v>
                </c:pt>
              </c:numCache>
            </c:numRef>
          </c:val>
        </c:ser>
        <c:gapWidth val="150"/>
        <c:overlap val="0"/>
        <c:axId val="90541253"/>
        <c:axId val="75400630"/>
      </c:barChart>
      <c:catAx>
        <c:axId val="905412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400630"/>
        <c:crosses val="autoZero"/>
        <c:auto val="1"/>
        <c:lblAlgn val="ctr"/>
        <c:lblOffset val="100"/>
        <c:noMultiLvlLbl val="0"/>
      </c:catAx>
      <c:valAx>
        <c:axId val="754006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5412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160560</xdr:rowOff>
    </xdr:from>
    <xdr:to>
      <xdr:col>18</xdr:col>
      <xdr:colOff>255960</xdr:colOff>
      <xdr:row>16</xdr:row>
      <xdr:rowOff>182520</xdr:rowOff>
    </xdr:to>
    <xdr:graphicFrame>
      <xdr:nvGraphicFramePr>
        <xdr:cNvPr id="0" name="Chart 1"/>
        <xdr:cNvGraphicFramePr/>
      </xdr:nvGraphicFramePr>
      <xdr:xfrm>
        <a:off x="892872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160560</xdr:rowOff>
    </xdr:from>
    <xdr:to>
      <xdr:col>18</xdr:col>
      <xdr:colOff>255960</xdr:colOff>
      <xdr:row>33</xdr:row>
      <xdr:rowOff>182880</xdr:rowOff>
    </xdr:to>
    <xdr:graphicFrame>
      <xdr:nvGraphicFramePr>
        <xdr:cNvPr id="1" name="Chart 2"/>
        <xdr:cNvGraphicFramePr/>
      </xdr:nvGraphicFramePr>
      <xdr:xfrm>
        <a:off x="8928720" y="3619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35</xdr:row>
      <xdr:rowOff>160560</xdr:rowOff>
    </xdr:from>
    <xdr:to>
      <xdr:col>18</xdr:col>
      <xdr:colOff>255960</xdr:colOff>
      <xdr:row>50</xdr:row>
      <xdr:rowOff>182880</xdr:rowOff>
    </xdr:to>
    <xdr:graphicFrame>
      <xdr:nvGraphicFramePr>
        <xdr:cNvPr id="2" name="Chart 3"/>
        <xdr:cNvGraphicFramePr/>
      </xdr:nvGraphicFramePr>
      <xdr:xfrm>
        <a:off x="8928720" y="6858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52</xdr:row>
      <xdr:rowOff>160560</xdr:rowOff>
    </xdr:from>
    <xdr:to>
      <xdr:col>18</xdr:col>
      <xdr:colOff>255960</xdr:colOff>
      <xdr:row>67</xdr:row>
      <xdr:rowOff>182880</xdr:rowOff>
    </xdr:to>
    <xdr:graphicFrame>
      <xdr:nvGraphicFramePr>
        <xdr:cNvPr id="3" name="Chart 4"/>
        <xdr:cNvGraphicFramePr/>
      </xdr:nvGraphicFramePr>
      <xdr:xfrm>
        <a:off x="8928720" y="10096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hyperlink" Target="https://theedgemalaysia.com/node/718600" TargetMode="External"/><Relationship Id="rId2" Type="http://schemas.openxmlformats.org/officeDocument/2006/relationships/hyperlink" Target="https://www.starproperty.my/news/klgcc-mall-gains-85-committed-occupancy-ahead-of-soft-opening/132620" TargetMode="External"/><Relationship Id="rId3" Type="http://schemas.openxmlformats.org/officeDocument/2006/relationships/hyperlink" Target="https://www.starproperty.my/news/property-news/kl-east-mall-announces-line-up-of-key-tenants/115980" TargetMode="External"/><Relationship Id="rId4" Type="http://schemas.openxmlformats.org/officeDocument/2006/relationships/hyperlink" Target="https://trexon.my/blog/ev-charger-installation-cost-malaysia-2026" TargetMode="External"/><Relationship Id="rId5" Type="http://schemas.openxmlformats.org/officeDocument/2006/relationships/hyperlink" Target="https://trexon.my/solar-cost" TargetMode="External"/><Relationship Id="rId6" Type="http://schemas.openxmlformats.org/officeDocument/2006/relationships/hyperlink" Target="https://theedgemalaysia.com/article/lure-smallscale-solar." TargetMode="External"/><Relationship Id="rId7" Type="http://schemas.openxmlformats.org/officeDocument/2006/relationships/hyperlink" Target="https://ibfimonline.com/wp-content/uploads/2020/09/EE-Sector-Role-of-MAESCO-in-Developing-Financially-Viable-EE-Project-by-MAESCO.pdf" TargetMode="External"/><Relationship Id="rId8" Type="http://schemas.openxmlformats.org/officeDocument/2006/relationships/hyperlink" Target="https://www.businesstoday.com.my/2025/07/02/new-tariff-could-ease-tnbs-elevated-capital-expenditure-plans-hlib/" TargetMode="External"/><Relationship Id="rId9" Type="http://schemas.openxmlformats.org/officeDocument/2006/relationships/hyperlink" Target="https://myenergystats.st.gov.my/documents/d/guest/grid-emission-factor-gef-in-malaysia-2022-2024-provisional-" TargetMode="External"/><Relationship Id="rId10" Type="http://schemas.openxmlformats.org/officeDocument/2006/relationships/hyperlink" Target="https://ringgitplus.com/en/blog/personal-finance-news/chargesinis-dc-rates-now-start-from-rm1-19.html" TargetMode="External"/><Relationship Id="rId11" Type="http://schemas.openxmlformats.org/officeDocument/2006/relationships/hyperlink" Target="https://www.abm.org.my/wp-content/uploads/2026/08/website-FD-Rates-as-at-15-Aug-2026.pdf" TargetMode="External"/><Relationship Id="rId12" Type="http://schemas.openxmlformats.org/officeDocument/2006/relationships/hyperlink" Target="https://simedarbyproperty.com/annualreport2024/download/sdp-ir2024-key-highlights.pdf" TargetMode="External"/><Relationship Id="rId13" Type="http://schemas.openxmlformats.org/officeDocument/2006/relationships/hyperlink" Target="https://dnh.com.my/8-things-to-be-aware-of-before-renting-that-mall-space/" TargetMode="External"/><Relationship Id="rId14" Type="http://schemas.openxmlformats.org/officeDocument/2006/relationships/hyperlink" Target="https://www.eco-business.com/id/press-releases/malaysias-sunway-pyramid-mall-cuts-rm3-million-in-annual-energy-cost-for-seven-consecutive-years-with-johnson-controls-technology/" TargetMode="External"/><Relationship Id="rId15" Type="http://schemas.openxmlformats.org/officeDocument/2006/relationships/hyperlink" Target="https://www.pitchin.my/raise" TargetMode="External"/><Relationship Id="rId16" Type="http://schemas.openxmlformats.org/officeDocument/2006/relationships/hyperlink" Target="https://www.secondtalent.com/developer-rate-card/malaysia/" TargetMode="External"/><Relationship Id="rId17" Type="http://schemas.openxmlformats.org/officeDocument/2006/relationships/hyperlink" Target="https://www.ajobthing.com/resources/blog/epf-socso-eis-contribution-2026-latest-rates-rules-employer-guide-malaysia" TargetMode="External"/><Relationship Id="rId18" Type="http://schemas.openxmlformats.org/officeDocument/2006/relationships/hyperlink" Target="https://automationatlas.io/answers/supabase-pricing-explained-2026/" TargetMode="External"/><Relationship Id="rId19" Type="http://schemas.openxmlformats.org/officeDocument/2006/relationships/hyperlink" Target="https://makerkit.dev/blog/saas/vercel-cost" TargetMode="External"/><Relationship Id="rId20" Type="http://schemas.openxmlformats.org/officeDocument/2006/relationships/hyperlink" Target="https://trexon.my/solutions/esco" TargetMode="External"/><Relationship Id="rId21" Type="http://schemas.openxmlformats.org/officeDocument/2006/relationships/hyperlink" Target="https://www.spglobal.com/energy/en/news-research/latest-news/energy-transition/042426-malaysian-solar-i-rec-demand-rises-on-afa-expectations-singapore-preference" TargetMode="External"/><Relationship Id="rId22" Type="http://schemas.openxmlformats.org/officeDocument/2006/relationships/hyperlink" Target="https://cradle.com.my/cip-spark/" TargetMode="External"/><Relationship Id="rId23" Type="http://schemas.openxmlformats.org/officeDocument/2006/relationships/hyperlink" Target="https://www.capitalmarketsmalaysia.com/digital-equity-crowdfunding-ecf/" TargetMode="External"/><Relationship Id="rId24" Type="http://schemas.openxmlformats.org/officeDocument/2006/relationships/hyperlink" Target="https://soyacincau.com/2026/07/18/chargev-aeon-mall-cheras-selatan-level-2-ev-charger/" TargetMode="External"/><Relationship Id="rId25" Type="http://schemas.openxmlformats.org/officeDocument/2006/relationships/hyperlink" Target="https://marii.my/wp-content/uploads/2026/04/NEW-FAQ-EVCS.pdf" TargetMode="External"/><Relationship Id="rId26" Type="http://schemas.openxmlformats.org/officeDocument/2006/relationships/hyperlink" Target="https://malaysia4u.com/ev-charging-guide" TargetMode="External"/><Relationship Id="rId27" Type="http://schemas.openxmlformats.org/officeDocument/2006/relationships/hyperlink" Target="https://www.plusxnergy.com/?p=2574" TargetMode="External"/><Relationship Id="rId28" Type="http://schemas.openxmlformats.org/officeDocument/2006/relationships/hyperlink" Target="https://trexon.my/guides/tnb-medium-voltage-tariff-rp4" TargetMode="External"/><Relationship Id="rId29" Type="http://schemas.openxmlformats.org/officeDocument/2006/relationships/hyperlink" Target="https://www.tuv.com/regulations-and-standards/en/malaysia-guidelines-on-electric-vehicle-charging-system-evcs.html" TargetMode="External"/><Relationship Id="rId30" Type="http://schemas.openxmlformats.org/officeDocument/2006/relationships/hyperlink" Target="https://fmtv5.freemalaysiatoday.com/category/nation/2025/10/30/high-costs-slow-approvals-stall-malaysias-ev-charger-target" TargetMode="External"/><Relationship Id="rId31" Type="http://schemas.openxmlformats.org/officeDocument/2006/relationships/hyperlink" Target="https://hypercharge.com/blog/how-much-does-it-cost-to-operate-ev-charging-stations-for-apartments-condos-and-businesses/" TargetMode="External"/><Relationship Id="rId32" Type="http://schemas.openxmlformats.org/officeDocument/2006/relationships/hyperlink" Target="https://www.mida.gov.my/mida-news/government-bolsters-ev-charging-infrastructure-development-with-key-incentives/" TargetMode="External"/><Relationship Id="rId33" Type="http://schemas.openxmlformats.org/officeDocument/2006/relationships/hyperlink" Target="https://says.com/my/tech/ev-tax-filing-lhdn" TargetMode="External"/><Relationship Id="rId34" Type="http://schemas.openxmlformats.org/officeDocument/2006/relationships/hyperlink" Target="https://www.st.gov.my/contents/2025/CREAM/siaran_mediaeng.pdf" TargetMode="External"/><Relationship Id="rId35" Type="http://schemas.openxmlformats.org/officeDocument/2006/relationships/hyperlink" Target="https://www.businesstoday.com.my/2025/04/28/sdp-tnb-launch-nations-first-community-solar-aggregation-at-elmina/" TargetMode="External"/><Relationship Id="rId36" Type="http://schemas.openxmlformats.org/officeDocument/2006/relationships/hyperlink" Target="https://api.edgeprop.my/content/1913891/sime-darby-property-launches-nation&#8217;s-first-residential-solar-project" TargetMode="External"/><Relationship Id="rId37" Type="http://schemas.openxmlformats.org/officeDocument/2006/relationships/hyperlink" Target="https://trexon.my/guides/solar-panel-cost-malaysi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8" min="3" style="0" width="17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</row>
    <row r="6" customFormat="false" ht="19.5" hidden="false" customHeight="true" outlineLevel="0" collapsed="false">
      <c r="A6" s="4" t="s">
        <v>3</v>
      </c>
      <c r="B6" s="4"/>
      <c r="C6" s="4" t="s">
        <v>4</v>
      </c>
      <c r="D6" s="4"/>
      <c r="E6" s="4" t="s">
        <v>5</v>
      </c>
      <c r="F6" s="4"/>
    </row>
    <row r="7" customFormat="false" ht="33.75" hidden="false" customHeight="true" outlineLevel="0" collapsed="false">
      <c r="A7" s="5" t="n">
        <f aca="false">ROI!C16</f>
        <v>1.1719180255062</v>
      </c>
      <c r="B7" s="5"/>
      <c r="C7" s="6" t="n">
        <f aca="false">ROI!H10</f>
        <v>1434165.15358188</v>
      </c>
      <c r="D7" s="6"/>
      <c r="E7" s="6" t="n">
        <f aca="false">ROI!E31</f>
        <v>778498.697675302</v>
      </c>
      <c r="F7" s="6"/>
    </row>
    <row r="9" customFormat="false" ht="15" hidden="false" customHeight="false" outlineLevel="0" collapsed="false">
      <c r="A9" s="3" t="s">
        <v>6</v>
      </c>
    </row>
    <row r="10" customFormat="false" ht="19.5" hidden="false" customHeight="true" outlineLevel="0" collapsed="false">
      <c r="A10" s="7" t="s">
        <v>7</v>
      </c>
      <c r="B10" s="7"/>
      <c r="C10" s="7" t="s">
        <v>8</v>
      </c>
      <c r="D10" s="7"/>
      <c r="E10" s="7" t="s">
        <v>9</v>
      </c>
      <c r="F10" s="7"/>
    </row>
    <row r="11" customFormat="false" ht="33.75" hidden="false" customHeight="true" outlineLevel="0" collapsed="false">
      <c r="A11" s="8" t="n">
        <f aca="false">ROI!C17</f>
        <v>2.35251792453966</v>
      </c>
      <c r="B11" s="8"/>
      <c r="C11" s="9" t="n">
        <f aca="false">ROI!H13</f>
        <v>4258510.41343097</v>
      </c>
      <c r="D11" s="9"/>
      <c r="E11" s="9" t="n">
        <f aca="false">ROI!C39</f>
        <v>2478279.80066535</v>
      </c>
      <c r="F11" s="9"/>
    </row>
    <row r="13" customFormat="false" ht="15" hidden="false" customHeight="false" outlineLevel="0" collapsed="false">
      <c r="A13" s="10" t="str">
        <f aca="false">"Discount rate "&amp;TEXT(Assumptions!$B$58,"0%")&amp;" · ROI = (gain − cost) ÷ cost · Customer = benefit to developers minus what they pay us (Customer_ROI has SDP alone)."</f>
        <v>Discount rate 15% · ROI = (gain − cost) ÷ cost · Customer = benefit to developers minus what they pay us (Customer_ROI has SDP alone).</v>
      </c>
    </row>
    <row r="15" customFormat="false" ht="15" hidden="false" customHeight="false" outlineLevel="0" collapsed="false">
      <c r="A15" s="11" t="s">
        <v>10</v>
      </c>
    </row>
    <row r="17" customFormat="false" ht="15" hidden="false" customHeight="false" outlineLevel="0" collapsed="false">
      <c r="A17" s="12" t="s">
        <v>11</v>
      </c>
    </row>
    <row r="18" customFormat="false" ht="30" hidden="false" customHeight="true" outlineLevel="0" collapsed="false">
      <c r="A18" s="13" t="s">
        <v>12</v>
      </c>
      <c r="B18" s="13"/>
      <c r="C18" s="13"/>
      <c r="D18" s="13"/>
      <c r="E18" s="13"/>
      <c r="F18" s="13"/>
      <c r="G18" s="13"/>
      <c r="H18" s="13"/>
    </row>
    <row r="19" customFormat="false" ht="30" hidden="false" customHeight="true" outlineLevel="0" collapsed="false">
      <c r="A19" s="13" t="s">
        <v>13</v>
      </c>
      <c r="B19" s="13"/>
      <c r="C19" s="13"/>
      <c r="D19" s="13"/>
      <c r="E19" s="13"/>
      <c r="F19" s="13"/>
      <c r="G19" s="13"/>
      <c r="H19" s="13"/>
    </row>
    <row r="20" customFormat="false" ht="30" hidden="false" customHeight="true" outlineLevel="0" collapsed="false">
      <c r="A20" s="13" t="s">
        <v>14</v>
      </c>
      <c r="B20" s="13"/>
      <c r="C20" s="13"/>
      <c r="D20" s="13"/>
      <c r="E20" s="13"/>
      <c r="F20" s="13"/>
      <c r="G20" s="13"/>
      <c r="H20" s="13"/>
    </row>
    <row r="22" customFormat="false" ht="15" hidden="false" customHeight="false" outlineLevel="0" collapsed="false">
      <c r="A22" s="12" t="s">
        <v>15</v>
      </c>
    </row>
    <row r="23" customFormat="false" ht="15" hidden="false" customHeight="false" outlineLevel="0" collapsed="false">
      <c r="A23" s="14" t="str">
        <f aca="false">"Set-up fee RM"&amp;TEXT(Assumptions!$B$38,"#,##0")&amp;" (RM"&amp;TEXT(Assumptions!$B$60,"#,##0")&amp;" in Year 1, RM"&amp;TEXT(Assumptions!$B$61,"#,##0")&amp;" in Year 2) · Platform fee RM"&amp;TEXT(Assumptions!$B$39,"#,##0")&amp;" a year from Year 2 · Success fee "&amp;TEXT(Assumptions!$B$40,"0.00%")&amp;" (waived in Year 1) · "&amp;TEXT(Assumptions!$B$41,"0.0%")&amp;" a year on money invested · "&amp;TEXT(Assumptions!$B$42,"0%")&amp;" on mall redemptions · smaller developers pay pro rata"</f>
        <v>Set-up fee RM50,000 (RM20,000 in Year 1, RM30,000 in Year 2) · Platform fee RM72,000 a year from Year 2 · Success fee 0.75% (waived in Year 1) · 0.5% a year on money invested · 2% on mall redemptions · smaller developers pay pro rata</v>
      </c>
    </row>
    <row r="25" customFormat="false" ht="15" hidden="false" customHeight="false" outlineLevel="0" collapsed="false">
      <c r="A25" s="12" t="s">
        <v>16</v>
      </c>
    </row>
    <row r="26" customFormat="false" ht="15" hidden="false" customHeight="false" outlineLevel="0" collapsed="false">
      <c r="A26" s="15" t="s">
        <v>17</v>
      </c>
      <c r="B26" s="16"/>
      <c r="C26" s="16" t="s">
        <v>18</v>
      </c>
      <c r="D26" s="16"/>
      <c r="E26" s="16" t="s">
        <v>19</v>
      </c>
      <c r="F26" s="16"/>
      <c r="G26" s="16" t="s">
        <v>18</v>
      </c>
      <c r="H26" s="16" t="s">
        <v>19</v>
      </c>
    </row>
    <row r="27" customFormat="false" ht="15" hidden="false" customHeight="false" outlineLevel="0" collapsed="false">
      <c r="A27" s="17" t="s">
        <v>20</v>
      </c>
      <c r="B27" s="17"/>
      <c r="C27" s="18" t="n">
        <f aca="false">Conservative_Test!B26</f>
        <v>137144.649685883</v>
      </c>
      <c r="E27" s="18" t="n">
        <f aca="false">Conservative_Test!C26</f>
        <v>22856.605648698</v>
      </c>
      <c r="G27" s="19" t="str">
        <f aca="false">Conservative_Test!E26</f>
        <v>PASS</v>
      </c>
      <c r="H27" s="19" t="str">
        <f aca="false">Conservative_Test!F26</f>
        <v>PASS</v>
      </c>
    </row>
    <row r="28" customFormat="false" ht="15" hidden="false" customHeight="false" outlineLevel="0" collapsed="false">
      <c r="A28" s="17" t="s">
        <v>21</v>
      </c>
      <c r="B28" s="17"/>
      <c r="C28" s="18" t="n">
        <f aca="false">Conservative_Test!B27</f>
        <v>33144.6496858832</v>
      </c>
      <c r="E28" s="18" t="n">
        <f aca="false">Conservative_Test!C27</f>
        <v>22856.605648698</v>
      </c>
      <c r="G28" s="19" t="str">
        <f aca="false">Conservative_Test!E27</f>
        <v>PASS</v>
      </c>
      <c r="H28" s="19" t="str">
        <f aca="false">Conservative_Test!F27</f>
        <v>PASS</v>
      </c>
    </row>
    <row r="29" customFormat="false" ht="15" hidden="false" customHeight="false" outlineLevel="0" collapsed="false">
      <c r="A29" s="17" t="s">
        <v>22</v>
      </c>
      <c r="B29" s="17"/>
      <c r="C29" s="18" t="n">
        <f aca="false">Conservative_Test!B28</f>
        <v>82286.7898115299</v>
      </c>
      <c r="E29" s="18" t="n">
        <f aca="false">Conservative_Test!C28</f>
        <v>9142.64225947921</v>
      </c>
      <c r="G29" s="19" t="str">
        <f aca="false">Conservative_Test!E28</f>
        <v>PASS</v>
      </c>
      <c r="H29" s="19" t="str">
        <f aca="false">Conservative_Test!F28</f>
        <v>PASS</v>
      </c>
    </row>
    <row r="30" customFormat="false" ht="15" hidden="false" customHeight="false" outlineLevel="0" collapsed="false">
      <c r="A30" s="17" t="s">
        <v>23</v>
      </c>
      <c r="B30" s="17"/>
      <c r="C30" s="18" t="n">
        <f aca="false">Conservative_Test!B29</f>
        <v>82163.2986428572</v>
      </c>
      <c r="E30" s="18" t="n">
        <f aca="false">Conservative_Test!C29</f>
        <v>50465.8974111412</v>
      </c>
      <c r="G30" s="19" t="str">
        <f aca="false">Conservative_Test!E29</f>
        <v>PASS</v>
      </c>
      <c r="H30" s="19" t="str">
        <f aca="false">Conservative_Test!F29</f>
        <v>PASS</v>
      </c>
    </row>
    <row r="31" customFormat="false" ht="15" hidden="false" customHeight="false" outlineLevel="0" collapsed="false">
      <c r="A31" s="17" t="s">
        <v>24</v>
      </c>
      <c r="B31" s="17"/>
      <c r="C31" s="20" t="n">
        <f aca="false">Conservative_Test!B30</f>
        <v>0.0454756300467933</v>
      </c>
      <c r="E31" s="20" t="n">
        <f aca="false">Conservative_Test!C30</f>
        <v>0.0454756300467933</v>
      </c>
      <c r="G31" s="19" t="str">
        <f aca="false">Conservative_Test!E30</f>
        <v>PASS</v>
      </c>
      <c r="H31" s="19" t="str">
        <f aca="false">Conservative_Test!F30</f>
        <v>PASS</v>
      </c>
    </row>
    <row r="32" customFormat="false" ht="15" hidden="false" customHeight="false" outlineLevel="0" collapsed="false">
      <c r="A32" s="17" t="s">
        <v>25</v>
      </c>
      <c r="B32" s="17"/>
      <c r="C32" s="20" t="n">
        <f aca="false">Conservative_Test!B31</f>
        <v>0.0548412896873462</v>
      </c>
      <c r="E32" s="20" t="n">
        <f aca="false">Conservative_Test!C31</f>
        <v>0.0129472724282875</v>
      </c>
      <c r="G32" s="19" t="str">
        <f aca="false">Conservative_Test!E31</f>
        <v>PASS</v>
      </c>
      <c r="H32" s="19" t="str">
        <f aca="false">Conservative_Test!F31</f>
        <v>PASS</v>
      </c>
    </row>
    <row r="33" customFormat="false" ht="15" hidden="false" customHeight="false" outlineLevel="0" collapsed="false">
      <c r="A33" s="17" t="s">
        <v>26</v>
      </c>
      <c r="B33" s="17"/>
      <c r="C33" s="21" t="n">
        <f aca="false">Conservative_Test!B32</f>
        <v>0</v>
      </c>
      <c r="E33" s="21" t="n">
        <f aca="false">Conservative_Test!C32</f>
        <v>0.4</v>
      </c>
      <c r="G33" s="19" t="str">
        <f aca="false">Conservative_Test!E32</f>
        <v>PASS</v>
      </c>
      <c r="H33" s="19" t="str">
        <f aca="false">Conservative_Test!F32</f>
        <v>PASS</v>
      </c>
    </row>
    <row r="34" customFormat="false" ht="15" hidden="false" customHeight="false" outlineLevel="0" collapsed="false">
      <c r="A34" s="17" t="s">
        <v>27</v>
      </c>
      <c r="B34" s="17"/>
      <c r="C34" s="18" t="n">
        <f aca="false">Conservative_Test!B33</f>
        <v>92228.3545158311</v>
      </c>
      <c r="E34" s="18" t="n">
        <f aca="false">Conservative_Test!C33</f>
        <v>5033.9555125722</v>
      </c>
      <c r="G34" s="19" t="str">
        <f aca="false">Conservative_Test!E33</f>
        <v>PASS</v>
      </c>
      <c r="H34" s="19" t="str">
        <f aca="false">Conservative_Test!F33</f>
        <v>PASS</v>
      </c>
    </row>
    <row r="35" customFormat="false" ht="15" hidden="false" customHeight="false" outlineLevel="0" collapsed="false">
      <c r="A35" s="17" t="s">
        <v>28</v>
      </c>
      <c r="B35" s="17"/>
      <c r="C35" s="18" t="n">
        <f aca="false">Conservative_Test!B34</f>
        <v>1434165.15358188</v>
      </c>
      <c r="E35" s="18" t="n">
        <f aca="false">Conservative_Test!C34</f>
        <v>131171.913679976</v>
      </c>
      <c r="G35" s="19" t="str">
        <f aca="false">Conservative_Test!E34</f>
        <v>PASS</v>
      </c>
      <c r="H35" s="19" t="str">
        <f aca="false">Conservative_Test!F34</f>
        <v>PASS</v>
      </c>
    </row>
    <row r="36" customFormat="false" ht="15" hidden="false" customHeight="false" outlineLevel="0" collapsed="false">
      <c r="A36" s="17" t="s">
        <v>29</v>
      </c>
      <c r="B36" s="17"/>
      <c r="C36" s="18" t="n">
        <f aca="false">Conservative_Test!B35</f>
        <v>778498.697675302</v>
      </c>
      <c r="E36" s="18" t="n">
        <f aca="false">Conservative_Test!C35</f>
        <v>22817.9071005114</v>
      </c>
      <c r="G36" s="19" t="str">
        <f aca="false">Conservative_Test!E35</f>
        <v>PASS</v>
      </c>
      <c r="H36" s="19" t="str">
        <f aca="false">Conservative_Test!F35</f>
        <v>PASS</v>
      </c>
    </row>
    <row r="37" customFormat="false" ht="15" hidden="false" customHeight="false" outlineLevel="0" collapsed="false">
      <c r="A37" s="17" t="s">
        <v>30</v>
      </c>
      <c r="B37" s="17"/>
      <c r="C37" s="18" t="n">
        <f aca="false">Conservative_Test!B36</f>
        <v>33918.504549484</v>
      </c>
      <c r="E37" s="18" t="n">
        <f aca="false">Conservative_Test!C36</f>
        <v>12403.7164751136</v>
      </c>
      <c r="G37" s="19" t="str">
        <f aca="false">Conservative_Test!E36</f>
        <v>PASS</v>
      </c>
      <c r="H37" s="19" t="str">
        <f aca="false">Conservative_Test!F36</f>
        <v>PASS</v>
      </c>
    </row>
    <row r="38" customFormat="false" ht="15" hidden="false" customHeight="false" outlineLevel="0" collapsed="false">
      <c r="A38" s="17" t="s">
        <v>31</v>
      </c>
      <c r="B38" s="17"/>
      <c r="C38" s="18" t="n">
        <f aca="false">Conservative_Test!B37</f>
        <v>92228.3545158311</v>
      </c>
      <c r="E38" s="18" t="n">
        <f aca="false">Conservative_Test!C37</f>
        <v>5033.9555125722</v>
      </c>
      <c r="G38" s="19" t="str">
        <f aca="false">Conservative_Test!E37</f>
        <v>PASS</v>
      </c>
      <c r="H38" s="19" t="str">
        <f aca="false">Conservative_Test!F37</f>
        <v>PASS</v>
      </c>
    </row>
    <row r="39" customFormat="false" ht="15" hidden="false" customHeight="false" outlineLevel="0" collapsed="false">
      <c r="A39" s="22" t="s">
        <v>32</v>
      </c>
      <c r="G39" s="22" t="str">
        <f aca="false">Conservative_Test!E38</f>
        <v>ALL PASS</v>
      </c>
      <c r="H39" s="22" t="str">
        <f aca="false">Conservative_Test!F38</f>
        <v>ALL PASS</v>
      </c>
    </row>
  </sheetData>
  <mergeCells count="27">
    <mergeCell ref="A6:B6"/>
    <mergeCell ref="C6:D6"/>
    <mergeCell ref="E6:F6"/>
    <mergeCell ref="A7:B7"/>
    <mergeCell ref="C7:D7"/>
    <mergeCell ref="E7:F7"/>
    <mergeCell ref="A10:B10"/>
    <mergeCell ref="C10:D10"/>
    <mergeCell ref="E10:F10"/>
    <mergeCell ref="A11:B11"/>
    <mergeCell ref="C11:D11"/>
    <mergeCell ref="E11:F11"/>
    <mergeCell ref="A18:H18"/>
    <mergeCell ref="A19:H19"/>
    <mergeCell ref="A20:H20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5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15" hidden="false" customHeight="false" outlineLevel="0" collapsed="false">
      <c r="A4" s="23" t="s">
        <v>35</v>
      </c>
      <c r="B4" s="24" t="s">
        <v>36</v>
      </c>
      <c r="C4" s="24"/>
      <c r="D4" s="24" t="s">
        <v>37</v>
      </c>
      <c r="E4" s="24"/>
      <c r="F4" s="24" t="s">
        <v>38</v>
      </c>
      <c r="G4" s="24"/>
    </row>
    <row r="5" customFormat="false" ht="15" hidden="false" customHeight="false" outlineLevel="0" collapsed="false">
      <c r="A5" s="23"/>
      <c r="B5" s="25" t="s">
        <v>39</v>
      </c>
      <c r="C5" s="25" t="s">
        <v>40</v>
      </c>
      <c r="D5" s="25" t="s">
        <v>39</v>
      </c>
      <c r="E5" s="25" t="s">
        <v>40</v>
      </c>
      <c r="F5" s="25" t="s">
        <v>39</v>
      </c>
      <c r="G5" s="25" t="s">
        <v>40</v>
      </c>
    </row>
    <row r="6" customFormat="false" ht="15" hidden="false" customHeight="false" outlineLevel="0" collapsed="false">
      <c r="A6" s="26" t="s">
        <v>41</v>
      </c>
      <c r="B6" s="27" t="n">
        <f aca="false">Assumptions!$B$96</f>
        <v>100</v>
      </c>
      <c r="C6" s="27" t="n">
        <f aca="false">Assumptions!$B$97</f>
        <v>5000</v>
      </c>
      <c r="D6" s="27" t="n">
        <f aca="false">Assumptions!$B$98</f>
        <v>100</v>
      </c>
      <c r="E6" s="27" t="n">
        <f aca="false">Assumptions!$B$99</f>
        <v>3000</v>
      </c>
      <c r="F6" s="27" t="n">
        <f aca="false">Assumptions!$B$100</f>
        <v>100</v>
      </c>
      <c r="G6" s="27" t="n">
        <f aca="false">Assumptions!$B$101</f>
        <v>1000</v>
      </c>
    </row>
    <row r="7" customFormat="false" ht="15" hidden="false" customHeight="false" outlineLevel="0" collapsed="false">
      <c r="A7" s="28" t="s">
        <v>42</v>
      </c>
      <c r="B7" s="29" t="n">
        <f aca="false">Investor_ROI!B6</f>
        <v>0.05</v>
      </c>
      <c r="C7" s="29" t="n">
        <f aca="false">Investor_ROI!B6</f>
        <v>0.05</v>
      </c>
      <c r="D7" s="29" t="n">
        <f aca="false">Investor_ROI!B15</f>
        <v>0.065</v>
      </c>
      <c r="E7" s="29" t="n">
        <f aca="false">Investor_ROI!B15</f>
        <v>0.065</v>
      </c>
      <c r="F7" s="29" t="n">
        <f aca="false">Investor_ROI!B57</f>
        <v>0.0661872679910144</v>
      </c>
      <c r="G7" s="29" t="n">
        <f aca="false">Investor_ROI!B57</f>
        <v>0.0661872679910144</v>
      </c>
    </row>
    <row r="8" customFormat="false" ht="45" hidden="false" customHeight="true" outlineLevel="0" collapsed="false">
      <c r="A8" s="28" t="s">
        <v>43</v>
      </c>
      <c r="B8" s="30" t="s">
        <v>44</v>
      </c>
      <c r="C8" s="30" t="s">
        <v>44</v>
      </c>
      <c r="D8" s="30" t="s">
        <v>45</v>
      </c>
      <c r="E8" s="30" t="s">
        <v>45</v>
      </c>
      <c r="F8" s="30" t="s">
        <v>46</v>
      </c>
      <c r="G8" s="30" t="s">
        <v>46</v>
      </c>
    </row>
    <row r="9" customFormat="false" ht="45" hidden="false" customHeight="true" outlineLevel="0" collapsed="false">
      <c r="A9" s="28" t="s">
        <v>47</v>
      </c>
      <c r="B9" s="31" t="str">
        <f aca="false">Assumptions!$B$20&amp;" years, monthly"</f>
        <v>5 years, monthly</v>
      </c>
      <c r="C9" s="31" t="str">
        <f aca="false">Assumptions!$B$20&amp;" years, monthly"</f>
        <v>5 years, monthly</v>
      </c>
      <c r="D9" s="31" t="str">
        <f aca="false">Assumptions!$B$27&amp;" years, monthly"</f>
        <v>3 years, monthly</v>
      </c>
      <c r="E9" s="31" t="str">
        <f aca="false">Assumptions!$B$27&amp;" years, monthly"</f>
        <v>3 years, monthly</v>
      </c>
      <c r="F9" s="31" t="str">
        <f aca="false">Investor_ROI!B30&amp;" years, from charging income"</f>
        <v>7 years, from charging income</v>
      </c>
      <c r="G9" s="31" t="str">
        <f aca="false">Investor_ROI!B30&amp;" years, from charging income"</f>
        <v>7 years, from charging income</v>
      </c>
    </row>
    <row r="10" customFormat="false" ht="15" hidden="false" customHeight="false" outlineLevel="0" collapsed="false">
      <c r="A10" s="32" t="s">
        <v>48</v>
      </c>
      <c r="B10" s="33"/>
      <c r="C10" s="33"/>
      <c r="D10" s="33"/>
      <c r="E10" s="33"/>
      <c r="F10" s="33"/>
      <c r="G10" s="33"/>
    </row>
    <row r="11" customFormat="false" ht="15" hidden="false" customHeight="false" outlineLevel="0" collapsed="false">
      <c r="A11" s="28" t="s">
        <v>49</v>
      </c>
      <c r="B11" s="34" t="n">
        <f aca="false">B6*(Investor_ROI!B46)/Investor_ROI!B45</f>
        <v>113.227401864066</v>
      </c>
      <c r="C11" s="34" t="n">
        <f aca="false">C6*(Investor_ROI!B46)/Investor_ROI!B45</f>
        <v>5661.37009320328</v>
      </c>
      <c r="D11" s="34" t="n">
        <f aca="false">D6*((Investor_ROI!B50-Investor_ROI!B51))/Investor_ROI!B45</f>
        <v>110.336410355435</v>
      </c>
      <c r="E11" s="34" t="n">
        <f aca="false">E6*((Investor_ROI!B50-Investor_ROI!B51))/Investor_ROI!B45</f>
        <v>3310.09231066306</v>
      </c>
      <c r="F11" s="34" t="n">
        <f aca="false">F6*(Investor_ROI!B55)/Investor_ROI!B45</f>
        <v>128.709606666667</v>
      </c>
      <c r="G11" s="34" t="n">
        <f aca="false">G6*(Investor_ROI!B55)/Investor_ROI!B45</f>
        <v>1287.09606666667</v>
      </c>
    </row>
    <row r="12" customFormat="false" ht="15" hidden="false" customHeight="false" outlineLevel="0" collapsed="false">
      <c r="A12" s="26" t="s">
        <v>50</v>
      </c>
      <c r="B12" s="35" t="n">
        <f aca="false">B6*(Investor_ROI!B46)/Investor_ROI!B45-B6</f>
        <v>13.2274018640656</v>
      </c>
      <c r="C12" s="35" t="n">
        <f aca="false">C6*(Investor_ROI!B46)/Investor_ROI!B45-C6</f>
        <v>661.370093203279</v>
      </c>
      <c r="D12" s="35" t="n">
        <f aca="false">D6*((Investor_ROI!B50-Investor_ROI!B51))/Investor_ROI!B45-D6</f>
        <v>10.3364103554352</v>
      </c>
      <c r="E12" s="35" t="n">
        <f aca="false">E6*((Investor_ROI!B50-Investor_ROI!B51))/Investor_ROI!B45-E6</f>
        <v>310.092310663057</v>
      </c>
      <c r="F12" s="35" t="n">
        <f aca="false">F6*(Investor_ROI!B55)/Investor_ROI!B45-F6</f>
        <v>28.7096066666666</v>
      </c>
      <c r="G12" s="35" t="n">
        <f aca="false">G6*(Investor_ROI!B55)/Investor_ROI!B45-G6</f>
        <v>287.096066666667</v>
      </c>
    </row>
    <row r="13" customFormat="false" ht="15" hidden="false" customHeight="false" outlineLevel="0" collapsed="false">
      <c r="A13" s="26" t="s">
        <v>51</v>
      </c>
      <c r="B13" s="36" t="n">
        <f aca="false">(Investor_ROI!B46)/Investor_ROI!B45-1</f>
        <v>0.132274018640656</v>
      </c>
      <c r="C13" s="36" t="n">
        <f aca="false">(Investor_ROI!B46)/Investor_ROI!B45-1</f>
        <v>0.132274018640656</v>
      </c>
      <c r="D13" s="36" t="n">
        <f aca="false">((Investor_ROI!B50-Investor_ROI!B51))/Investor_ROI!B45-1</f>
        <v>0.103364103554352</v>
      </c>
      <c r="E13" s="36" t="n">
        <f aca="false">((Investor_ROI!B50-Investor_ROI!B51))/Investor_ROI!B45-1</f>
        <v>0.103364103554352</v>
      </c>
      <c r="F13" s="36" t="n">
        <f aca="false">(Investor_ROI!B55)/Investor_ROI!B45-1</f>
        <v>0.287096066666666</v>
      </c>
      <c r="G13" s="36" t="n">
        <f aca="false">(Investor_ROI!B55)/Investor_ROI!B45-1</f>
        <v>0.287096066666666</v>
      </c>
    </row>
    <row r="14" customFormat="false" ht="15" hidden="false" customHeight="false" outlineLevel="0" collapsed="false">
      <c r="A14" s="37" t="s">
        <v>52</v>
      </c>
      <c r="B14" s="38"/>
      <c r="C14" s="38"/>
      <c r="D14" s="38"/>
      <c r="E14" s="38"/>
      <c r="F14" s="38"/>
      <c r="G14" s="38"/>
    </row>
    <row r="15" customFormat="false" ht="15" hidden="false" customHeight="false" outlineLevel="0" collapsed="false">
      <c r="A15" s="28" t="s">
        <v>53</v>
      </c>
      <c r="B15" s="29" t="n">
        <f aca="false">Investor_ROI!C8</f>
        <v>0.05</v>
      </c>
      <c r="C15" s="29" t="n">
        <f aca="false">Investor_ROI!C8</f>
        <v>0.05</v>
      </c>
      <c r="D15" s="29" t="n">
        <f aca="false">Investor_ROI!C53</f>
        <v>0.032304876396809</v>
      </c>
      <c r="E15" s="29" t="n">
        <f aca="false">Investor_ROI!C53</f>
        <v>0.032304876396809</v>
      </c>
      <c r="F15" s="29" t="n">
        <f aca="false">Investor_ROI!C57</f>
        <v>-0.113514765808182</v>
      </c>
      <c r="G15" s="29" t="n">
        <f aca="false">Investor_ROI!C57</f>
        <v>-0.113514765808182</v>
      </c>
    </row>
    <row r="16" customFormat="false" ht="15" hidden="false" customHeight="false" outlineLevel="0" collapsed="false">
      <c r="A16" s="28" t="s">
        <v>49</v>
      </c>
      <c r="B16" s="34" t="n">
        <f aca="false">B6*(Investor_ROI!C46)/Investor_ROI!C45</f>
        <v>113.227401864066</v>
      </c>
      <c r="C16" s="34" t="n">
        <f aca="false">C6*(Investor_ROI!C46)/Investor_ROI!C45</f>
        <v>5661.37009320328</v>
      </c>
      <c r="D16" s="34" t="n">
        <f aca="false">D6*((Investor_ROI!C50-Investor_ROI!C51))/Investor_ROI!C45</f>
        <v>105.058427809761</v>
      </c>
      <c r="E16" s="34" t="n">
        <f aca="false">E6*((Investor_ROI!C50-Investor_ROI!C51))/Investor_ROI!C45</f>
        <v>3151.75283429284</v>
      </c>
      <c r="F16" s="34" t="n">
        <f aca="false">F6*(Investor_ROI!C55)/Investor_ROI!C45</f>
        <v>60</v>
      </c>
      <c r="G16" s="34" t="n">
        <f aca="false">G6*(Investor_ROI!C55)/Investor_ROI!C45</f>
        <v>600</v>
      </c>
    </row>
    <row r="17" customFormat="false" ht="15" hidden="false" customHeight="false" outlineLevel="0" collapsed="false">
      <c r="A17" s="26" t="s">
        <v>50</v>
      </c>
      <c r="B17" s="35" t="n">
        <f aca="false">B6*(Investor_ROI!C46)/Investor_ROI!C45-B6</f>
        <v>13.2274018640656</v>
      </c>
      <c r="C17" s="35" t="n">
        <f aca="false">C6*(Investor_ROI!C46)/Investor_ROI!C45-C6</f>
        <v>661.370093203279</v>
      </c>
      <c r="D17" s="35" t="n">
        <f aca="false">D6*((Investor_ROI!C50-Investor_ROI!C51))/Investor_ROI!C45-D6</f>
        <v>5.05842780976131</v>
      </c>
      <c r="E17" s="35" t="n">
        <f aca="false">E6*((Investor_ROI!C50-Investor_ROI!C51))/Investor_ROI!C45-E6</f>
        <v>151.752834292839</v>
      </c>
      <c r="F17" s="35" t="n">
        <f aca="false">F6*(Investor_ROI!C55)/Investor_ROI!C45-F6</f>
        <v>-40</v>
      </c>
      <c r="G17" s="35" t="n">
        <f aca="false">G6*(Investor_ROI!C55)/Investor_ROI!C45-G6</f>
        <v>-400</v>
      </c>
    </row>
    <row r="18" customFormat="false" ht="15" hidden="false" customHeight="false" outlineLevel="0" collapsed="false">
      <c r="A18" s="26" t="s">
        <v>51</v>
      </c>
      <c r="B18" s="36" t="n">
        <f aca="false">(Investor_ROI!C46)/Investor_ROI!C45-1</f>
        <v>0.132274018640656</v>
      </c>
      <c r="C18" s="36" t="n">
        <f aca="false">(Investor_ROI!C46)/Investor_ROI!C45-1</f>
        <v>0.132274018640656</v>
      </c>
      <c r="D18" s="36" t="n">
        <f aca="false">((Investor_ROI!C50-Investor_ROI!C51))/Investor_ROI!C45-1</f>
        <v>0.0505842780976131</v>
      </c>
      <c r="E18" s="36" t="n">
        <f aca="false">((Investor_ROI!C50-Investor_ROI!C51))/Investor_ROI!C45-1</f>
        <v>0.0505842780976131</v>
      </c>
      <c r="F18" s="36" t="n">
        <f aca="false">(Investor_ROI!C55)/Investor_ROI!C45-1</f>
        <v>-0.4</v>
      </c>
      <c r="G18" s="36" t="n">
        <f aca="false">(Investor_ROI!C55)/Investor_ROI!C45-1</f>
        <v>-0.4</v>
      </c>
    </row>
    <row r="20" customFormat="false" ht="15" hidden="false" customHeight="false" outlineLevel="0" collapsed="false">
      <c r="A20" s="22" t="str">
        <f aca="false">"Most one resident can put in across all three pools: RM"&amp;TEXT(Assumptions!$B$97+Assumptions!$B$99+Assumptions!$B$101,"#,##0")&amp;". Smallest start: RM"&amp;TEXT(MIN(Assumptions!$B$96,Assumptions!$B$98,Assumptions!$B$100),"#,##0")&amp;" in any one pool."</f>
        <v>Most one resident can put in across all three pools: RM9,000. Smallest start: RM100 in any one pool.</v>
      </c>
    </row>
    <row r="21" customFormat="false" ht="27.75" hidden="false" customHeight="true" outlineLevel="0" collapsed="false">
      <c r="A21" s="39" t="s">
        <v>54</v>
      </c>
      <c r="B21" s="39"/>
      <c r="C21" s="39"/>
      <c r="D21" s="39"/>
      <c r="E21" s="39"/>
      <c r="F21" s="39"/>
      <c r="G21" s="39"/>
    </row>
    <row r="22" customFormat="false" ht="27.75" hidden="false" customHeight="true" outlineLevel="0" collapsed="false">
      <c r="A22" s="39" t="s">
        <v>55</v>
      </c>
      <c r="B22" s="39"/>
      <c r="C22" s="39"/>
      <c r="D22" s="39"/>
      <c r="E22" s="39"/>
      <c r="F22" s="39"/>
      <c r="G22" s="39"/>
    </row>
    <row r="23" customFormat="false" ht="27.75" hidden="false" customHeight="true" outlineLevel="0" collapsed="false">
      <c r="A23" s="39" t="s">
        <v>56</v>
      </c>
      <c r="B23" s="39"/>
      <c r="C23" s="39"/>
      <c r="D23" s="39"/>
      <c r="E23" s="39"/>
      <c r="F23" s="39"/>
      <c r="G23" s="39"/>
    </row>
    <row r="24" customFormat="false" ht="27.75" hidden="false" customHeight="true" outlineLevel="0" collapsed="false">
      <c r="A24" s="39" t="s">
        <v>57</v>
      </c>
      <c r="B24" s="39"/>
      <c r="C24" s="39"/>
      <c r="D24" s="39"/>
      <c r="E24" s="39"/>
      <c r="F24" s="39"/>
      <c r="G24" s="39"/>
    </row>
    <row r="25" customFormat="false" ht="27.75" hidden="false" customHeight="true" outlineLevel="0" collapsed="false">
      <c r="A25" s="39" t="s">
        <v>58</v>
      </c>
      <c r="B25" s="39"/>
      <c r="C25" s="39"/>
      <c r="D25" s="39"/>
      <c r="E25" s="39"/>
      <c r="F25" s="39"/>
      <c r="G25" s="39"/>
    </row>
  </sheetData>
  <mergeCells count="9">
    <mergeCell ref="A4:A5"/>
    <mergeCell ref="B4:C4"/>
    <mergeCell ref="D4:E4"/>
    <mergeCell ref="F4:G4"/>
    <mergeCell ref="A21:G21"/>
    <mergeCell ref="A22:G22"/>
    <mergeCell ref="A23:G23"/>
    <mergeCell ref="A24:G24"/>
    <mergeCell ref="A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95"/>
  </cols>
  <sheetData>
    <row r="1" customFormat="false" ht="17.3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15" hidden="false" customHeight="false" outlineLevel="0" collapsed="false">
      <c r="A4" s="15" t="s">
        <v>61</v>
      </c>
      <c r="B4" s="16" t="s">
        <v>62</v>
      </c>
      <c r="C4" s="16" t="s">
        <v>63</v>
      </c>
      <c r="D4" s="16" t="s">
        <v>64</v>
      </c>
    </row>
    <row r="5" customFormat="false" ht="15" hidden="false" customHeight="false" outlineLevel="0" collapsed="false">
      <c r="A5" s="40" t="s">
        <v>65</v>
      </c>
      <c r="B5" s="41"/>
      <c r="C5" s="41"/>
      <c r="D5" s="41"/>
    </row>
    <row r="6" customFormat="false" ht="15" hidden="false" customHeight="false" outlineLevel="0" collapsed="false">
      <c r="A6" s="14" t="s">
        <v>66</v>
      </c>
      <c r="B6" s="42" t="n">
        <v>2027</v>
      </c>
      <c r="C6" s="43" t="s">
        <v>67</v>
      </c>
      <c r="D6" s="44" t="s">
        <v>68</v>
      </c>
    </row>
    <row r="7" customFormat="false" ht="15" hidden="false" customHeight="false" outlineLevel="0" collapsed="false">
      <c r="A7" s="14" t="s">
        <v>69</v>
      </c>
      <c r="B7" s="45" t="n">
        <v>500</v>
      </c>
      <c r="C7" s="43" t="s">
        <v>70</v>
      </c>
      <c r="D7" s="44" t="s">
        <v>71</v>
      </c>
    </row>
    <row r="8" customFormat="false" ht="15" hidden="false" customHeight="false" outlineLevel="0" collapsed="false">
      <c r="A8" s="14" t="s">
        <v>72</v>
      </c>
      <c r="B8" s="46" t="n">
        <v>0.3</v>
      </c>
      <c r="C8" s="43" t="s">
        <v>73</v>
      </c>
      <c r="D8" s="44" t="s">
        <v>74</v>
      </c>
    </row>
    <row r="9" customFormat="false" ht="15" hidden="false" customHeight="false" outlineLevel="0" collapsed="false">
      <c r="A9" s="14" t="s">
        <v>75</v>
      </c>
      <c r="B9" s="47" t="n">
        <v>0.1</v>
      </c>
      <c r="C9" s="43" t="s">
        <v>73</v>
      </c>
      <c r="D9" s="44" t="s">
        <v>76</v>
      </c>
    </row>
    <row r="10" customFormat="false" ht="15" hidden="false" customHeight="false" outlineLevel="0" collapsed="false">
      <c r="A10" s="14" t="s">
        <v>77</v>
      </c>
      <c r="B10" s="46" t="n">
        <v>0.01</v>
      </c>
      <c r="C10" s="43" t="s">
        <v>78</v>
      </c>
      <c r="D10" s="44" t="s">
        <v>79</v>
      </c>
    </row>
    <row r="11" customFormat="false" ht="15" hidden="false" customHeight="false" outlineLevel="0" collapsed="false">
      <c r="A11" s="14" t="s">
        <v>80</v>
      </c>
      <c r="B11" s="48" t="n">
        <v>0.454</v>
      </c>
      <c r="C11" s="43" t="s">
        <v>81</v>
      </c>
      <c r="D11" s="44" t="s">
        <v>82</v>
      </c>
    </row>
    <row r="12" customFormat="false" ht="15" hidden="false" customHeight="false" outlineLevel="0" collapsed="false">
      <c r="A12" s="14" t="s">
        <v>83</v>
      </c>
      <c r="B12" s="48" t="n">
        <v>0.74</v>
      </c>
      <c r="C12" s="43" t="s">
        <v>84</v>
      </c>
      <c r="D12" s="44" t="s">
        <v>85</v>
      </c>
    </row>
    <row r="13" customFormat="false" ht="15" hidden="false" customHeight="false" outlineLevel="0" collapsed="false">
      <c r="A13" s="14" t="s">
        <v>86</v>
      </c>
      <c r="B13" s="49" t="n">
        <v>20800000</v>
      </c>
      <c r="C13" s="43" t="s">
        <v>87</v>
      </c>
      <c r="D13" s="44" t="s">
        <v>88</v>
      </c>
    </row>
    <row r="14" customFormat="false" ht="15" hidden="false" customHeight="false" outlineLevel="0" collapsed="false">
      <c r="A14" s="14" t="s">
        <v>89</v>
      </c>
      <c r="B14" s="46" t="n">
        <v>0.5</v>
      </c>
      <c r="C14" s="43" t="s">
        <v>73</v>
      </c>
      <c r="D14" s="44" t="s">
        <v>90</v>
      </c>
    </row>
    <row r="15" customFormat="false" ht="15" hidden="false" customHeight="false" outlineLevel="0" collapsed="false">
      <c r="A15" s="40" t="s">
        <v>91</v>
      </c>
      <c r="B15" s="41"/>
      <c r="C15" s="41"/>
      <c r="D15" s="41"/>
    </row>
    <row r="16" customFormat="false" ht="22.35" hidden="false" customHeight="false" outlineLevel="0" collapsed="false">
      <c r="A16" s="14" t="s">
        <v>92</v>
      </c>
      <c r="B16" s="45" t="n">
        <v>3200</v>
      </c>
      <c r="C16" s="43" t="s">
        <v>93</v>
      </c>
      <c r="D16" s="44" t="s">
        <v>94</v>
      </c>
    </row>
    <row r="17" customFormat="false" ht="15" hidden="false" customHeight="false" outlineLevel="0" collapsed="false">
      <c r="A17" s="14" t="s">
        <v>95</v>
      </c>
      <c r="B17" s="49" t="n">
        <v>1250</v>
      </c>
      <c r="C17" s="43" t="s">
        <v>96</v>
      </c>
      <c r="D17" s="44" t="s">
        <v>97</v>
      </c>
    </row>
    <row r="18" customFormat="false" ht="22.35" hidden="false" customHeight="false" outlineLevel="0" collapsed="false">
      <c r="A18" s="14" t="s">
        <v>98</v>
      </c>
      <c r="B18" s="50" t="n">
        <f aca="false">Assumptions!$B$111</f>
        <v>0.3</v>
      </c>
      <c r="C18" s="43" t="s">
        <v>73</v>
      </c>
      <c r="D18" s="44" t="s">
        <v>99</v>
      </c>
    </row>
    <row r="19" customFormat="false" ht="15" hidden="false" customHeight="false" outlineLevel="0" collapsed="false">
      <c r="A19" s="14" t="s">
        <v>100</v>
      </c>
      <c r="B19" s="51" t="n">
        <v>0.05</v>
      </c>
      <c r="C19" s="43" t="s">
        <v>101</v>
      </c>
      <c r="D19" s="44" t="s">
        <v>102</v>
      </c>
    </row>
    <row r="20" customFormat="false" ht="15" hidden="false" customHeight="false" outlineLevel="0" collapsed="false">
      <c r="A20" s="14" t="s">
        <v>103</v>
      </c>
      <c r="B20" s="42" t="n">
        <v>5</v>
      </c>
      <c r="C20" s="43" t="s">
        <v>104</v>
      </c>
      <c r="D20" s="44" t="s">
        <v>105</v>
      </c>
    </row>
    <row r="21" customFormat="false" ht="15" hidden="false" customHeight="false" outlineLevel="0" collapsed="false">
      <c r="A21" s="14" t="s">
        <v>106</v>
      </c>
      <c r="B21" s="51" t="n">
        <v>0.085</v>
      </c>
      <c r="C21" s="43" t="s">
        <v>101</v>
      </c>
      <c r="D21" s="44" t="s">
        <v>107</v>
      </c>
    </row>
    <row r="22" customFormat="false" ht="15" hidden="false" customHeight="false" outlineLevel="0" collapsed="false">
      <c r="A22" s="40" t="s">
        <v>108</v>
      </c>
      <c r="B22" s="41"/>
      <c r="C22" s="41"/>
      <c r="D22" s="41"/>
    </row>
    <row r="23" customFormat="false" ht="15" hidden="false" customHeight="false" outlineLevel="0" collapsed="false">
      <c r="A23" s="14" t="s">
        <v>109</v>
      </c>
      <c r="B23" s="45" t="n">
        <v>20000</v>
      </c>
      <c r="C23" s="43" t="s">
        <v>70</v>
      </c>
      <c r="D23" s="44" t="s">
        <v>110</v>
      </c>
    </row>
    <row r="24" customFormat="false" ht="15" hidden="false" customHeight="false" outlineLevel="0" collapsed="false">
      <c r="A24" s="14" t="s">
        <v>111</v>
      </c>
      <c r="B24" s="45" t="n">
        <v>1000</v>
      </c>
      <c r="C24" s="43" t="s">
        <v>112</v>
      </c>
      <c r="D24" s="44" t="s">
        <v>113</v>
      </c>
    </row>
    <row r="25" customFormat="false" ht="15" hidden="false" customHeight="false" outlineLevel="0" collapsed="false">
      <c r="A25" s="14" t="s">
        <v>114</v>
      </c>
      <c r="B25" s="47" t="n">
        <v>0.8</v>
      </c>
      <c r="C25" s="43" t="s">
        <v>73</v>
      </c>
      <c r="D25" s="44" t="s">
        <v>115</v>
      </c>
    </row>
    <row r="26" customFormat="false" ht="15" hidden="false" customHeight="false" outlineLevel="0" collapsed="false">
      <c r="A26" s="14" t="s">
        <v>116</v>
      </c>
      <c r="B26" s="52" t="n">
        <v>0.065</v>
      </c>
      <c r="C26" s="43" t="s">
        <v>101</v>
      </c>
      <c r="D26" s="44" t="s">
        <v>117</v>
      </c>
    </row>
    <row r="27" customFormat="false" ht="15" hidden="false" customHeight="false" outlineLevel="0" collapsed="false">
      <c r="A27" s="14" t="s">
        <v>118</v>
      </c>
      <c r="B27" s="42" t="n">
        <v>3</v>
      </c>
      <c r="C27" s="43" t="s">
        <v>104</v>
      </c>
      <c r="D27" s="44" t="s">
        <v>119</v>
      </c>
    </row>
    <row r="28" customFormat="false" ht="15" hidden="false" customHeight="false" outlineLevel="0" collapsed="false">
      <c r="A28" s="14" t="s">
        <v>120</v>
      </c>
      <c r="B28" s="47" t="n">
        <v>0.5</v>
      </c>
      <c r="C28" s="43" t="s">
        <v>73</v>
      </c>
      <c r="D28" s="44" t="s">
        <v>121</v>
      </c>
    </row>
    <row r="29" customFormat="false" ht="15" hidden="false" customHeight="false" outlineLevel="0" collapsed="false">
      <c r="A29" s="40" t="s">
        <v>122</v>
      </c>
      <c r="B29" s="41"/>
      <c r="C29" s="41"/>
      <c r="D29" s="41"/>
    </row>
    <row r="30" customFormat="false" ht="15" hidden="false" customHeight="false" outlineLevel="0" collapsed="false">
      <c r="A30" s="14" t="s">
        <v>123</v>
      </c>
      <c r="B30" s="53" t="n">
        <f aca="false">Assumptions!$B$115*Assumptions!$B$116+(1-Assumptions!$B$115)*Assumptions!$B$117</f>
        <v>62500</v>
      </c>
      <c r="C30" s="43" t="s">
        <v>70</v>
      </c>
      <c r="D30" s="44" t="s">
        <v>124</v>
      </c>
    </row>
    <row r="31" customFormat="false" ht="22.35" hidden="false" customHeight="false" outlineLevel="0" collapsed="false">
      <c r="A31" s="14" t="s">
        <v>125</v>
      </c>
      <c r="B31" s="47" t="n">
        <v>0.5</v>
      </c>
      <c r="C31" s="43" t="s">
        <v>73</v>
      </c>
      <c r="D31" s="44" t="s">
        <v>126</v>
      </c>
    </row>
    <row r="32" customFormat="false" ht="22.35" hidden="false" customHeight="false" outlineLevel="0" collapsed="false">
      <c r="A32" s="14" t="s">
        <v>127</v>
      </c>
      <c r="B32" s="54" t="n">
        <v>1.4</v>
      </c>
      <c r="C32" s="43" t="s">
        <v>81</v>
      </c>
      <c r="D32" s="44" t="s">
        <v>128</v>
      </c>
    </row>
    <row r="33" customFormat="false" ht="15" hidden="false" customHeight="false" outlineLevel="0" collapsed="false">
      <c r="A33" s="14" t="s">
        <v>129</v>
      </c>
      <c r="B33" s="47" t="n">
        <v>0.03</v>
      </c>
      <c r="C33" s="43" t="s">
        <v>130</v>
      </c>
      <c r="D33" s="44" t="s">
        <v>131</v>
      </c>
    </row>
    <row r="34" customFormat="false" ht="22.35" hidden="false" customHeight="false" outlineLevel="0" collapsed="false">
      <c r="A34" s="14" t="s">
        <v>132</v>
      </c>
      <c r="B34" s="45" t="n">
        <v>10000</v>
      </c>
      <c r="C34" s="43" t="s">
        <v>87</v>
      </c>
      <c r="D34" s="44" t="s">
        <v>133</v>
      </c>
    </row>
    <row r="35" customFormat="false" ht="22.35" hidden="false" customHeight="false" outlineLevel="0" collapsed="false">
      <c r="A35" s="14" t="s">
        <v>134</v>
      </c>
      <c r="B35" s="55" t="n">
        <f aca="false">Assumptions!$B$105*Assumptions!$B$106</f>
        <v>60</v>
      </c>
      <c r="C35" s="43" t="s">
        <v>135</v>
      </c>
      <c r="D35" s="44" t="s">
        <v>136</v>
      </c>
    </row>
    <row r="36" customFormat="false" ht="22.35" hidden="false" customHeight="false" outlineLevel="0" collapsed="false">
      <c r="A36" s="14" t="s">
        <v>137</v>
      </c>
      <c r="B36" s="47" t="n">
        <v>0.1</v>
      </c>
      <c r="C36" s="43" t="s">
        <v>73</v>
      </c>
      <c r="D36" s="44" t="s">
        <v>138</v>
      </c>
    </row>
    <row r="37" customFormat="false" ht="15" hidden="false" customHeight="false" outlineLevel="0" collapsed="false">
      <c r="A37" s="40" t="s">
        <v>139</v>
      </c>
      <c r="B37" s="41"/>
      <c r="C37" s="41"/>
      <c r="D37" s="41"/>
    </row>
    <row r="38" customFormat="false" ht="15" hidden="false" customHeight="false" outlineLevel="0" collapsed="false">
      <c r="A38" s="14" t="s">
        <v>140</v>
      </c>
      <c r="B38" s="53" t="n">
        <f aca="false">Assumptions!$B$60+Assumptions!$B$61</f>
        <v>50000</v>
      </c>
      <c r="C38" s="43" t="s">
        <v>70</v>
      </c>
      <c r="D38" s="44" t="s">
        <v>141</v>
      </c>
    </row>
    <row r="39" customFormat="false" ht="22.35" hidden="false" customHeight="false" outlineLevel="0" collapsed="false">
      <c r="A39" s="14" t="s">
        <v>142</v>
      </c>
      <c r="B39" s="45" t="n">
        <v>72000</v>
      </c>
      <c r="C39" s="43" t="s">
        <v>87</v>
      </c>
      <c r="D39" s="44" t="s">
        <v>143</v>
      </c>
    </row>
    <row r="40" customFormat="false" ht="22.35" hidden="false" customHeight="false" outlineLevel="0" collapsed="false">
      <c r="A40" s="14" t="s">
        <v>144</v>
      </c>
      <c r="B40" s="51" t="n">
        <v>0.0075</v>
      </c>
      <c r="C40" s="43" t="s">
        <v>145</v>
      </c>
      <c r="D40" s="44" t="s">
        <v>146</v>
      </c>
    </row>
    <row r="41" customFormat="false" ht="15" hidden="false" customHeight="false" outlineLevel="0" collapsed="false">
      <c r="A41" s="14" t="s">
        <v>147</v>
      </c>
      <c r="B41" s="51" t="n">
        <v>0.005</v>
      </c>
      <c r="C41" s="43" t="s">
        <v>101</v>
      </c>
      <c r="D41" s="44" t="s">
        <v>148</v>
      </c>
    </row>
    <row r="42" customFormat="false" ht="15" hidden="false" customHeight="false" outlineLevel="0" collapsed="false">
      <c r="A42" s="14" t="s">
        <v>149</v>
      </c>
      <c r="B42" s="47" t="n">
        <v>0.02</v>
      </c>
      <c r="C42" s="43" t="s">
        <v>150</v>
      </c>
      <c r="D42" s="44" t="s">
        <v>151</v>
      </c>
    </row>
    <row r="43" customFormat="false" ht="15" hidden="false" customHeight="false" outlineLevel="0" collapsed="false">
      <c r="A43" s="40" t="s">
        <v>152</v>
      </c>
      <c r="B43" s="41"/>
      <c r="C43" s="41"/>
      <c r="D43" s="41"/>
    </row>
    <row r="44" customFormat="false" ht="15" hidden="false" customHeight="false" outlineLevel="0" collapsed="false">
      <c r="A44" s="14" t="s">
        <v>153</v>
      </c>
      <c r="B44" s="42" t="n">
        <v>2</v>
      </c>
      <c r="C44" s="43" t="s">
        <v>154</v>
      </c>
      <c r="D44" s="44" t="s">
        <v>155</v>
      </c>
    </row>
    <row r="45" customFormat="false" ht="15" hidden="false" customHeight="false" outlineLevel="0" collapsed="false">
      <c r="A45" s="14" t="s">
        <v>156</v>
      </c>
      <c r="B45" s="45" t="n">
        <v>4000</v>
      </c>
      <c r="C45" s="43" t="s">
        <v>112</v>
      </c>
      <c r="D45" s="44" t="s">
        <v>157</v>
      </c>
    </row>
    <row r="46" customFormat="false" ht="15" hidden="false" customHeight="false" outlineLevel="0" collapsed="false">
      <c r="A46" s="14" t="s">
        <v>158</v>
      </c>
      <c r="B46" s="52" t="n">
        <v>0.1495</v>
      </c>
      <c r="C46" s="43" t="s">
        <v>159</v>
      </c>
      <c r="D46" s="44" t="s">
        <v>160</v>
      </c>
    </row>
    <row r="47" customFormat="false" ht="15" hidden="false" customHeight="false" outlineLevel="0" collapsed="false">
      <c r="A47" s="14" t="s">
        <v>161</v>
      </c>
      <c r="B47" s="42" t="n">
        <v>6</v>
      </c>
      <c r="C47" s="43" t="s">
        <v>162</v>
      </c>
      <c r="D47" s="44" t="s">
        <v>163</v>
      </c>
    </row>
    <row r="48" customFormat="false" ht="15" hidden="false" customHeight="false" outlineLevel="0" collapsed="false">
      <c r="A48" s="14" t="s">
        <v>164</v>
      </c>
      <c r="B48" s="49" t="n">
        <v>7000</v>
      </c>
      <c r="C48" s="43" t="s">
        <v>112</v>
      </c>
      <c r="D48" s="44" t="s">
        <v>165</v>
      </c>
    </row>
    <row r="49" customFormat="false" ht="15" hidden="false" customHeight="false" outlineLevel="0" collapsed="false">
      <c r="A49" s="14" t="s">
        <v>166</v>
      </c>
      <c r="B49" s="49" t="n">
        <v>25</v>
      </c>
      <c r="C49" s="43" t="s">
        <v>167</v>
      </c>
      <c r="D49" s="44" t="s">
        <v>168</v>
      </c>
    </row>
    <row r="50" customFormat="false" ht="15" hidden="false" customHeight="false" outlineLevel="0" collapsed="false">
      <c r="A50" s="14" t="s">
        <v>169</v>
      </c>
      <c r="B50" s="49" t="n">
        <v>20</v>
      </c>
      <c r="C50" s="43" t="s">
        <v>167</v>
      </c>
      <c r="D50" s="44" t="s">
        <v>170</v>
      </c>
    </row>
    <row r="51" customFormat="false" ht="15" hidden="false" customHeight="false" outlineLevel="0" collapsed="false">
      <c r="A51" s="14" t="s">
        <v>171</v>
      </c>
      <c r="B51" s="42" t="n">
        <v>2</v>
      </c>
      <c r="C51" s="43" t="s">
        <v>172</v>
      </c>
      <c r="D51" s="44"/>
    </row>
    <row r="52" customFormat="false" ht="15" hidden="false" customHeight="false" outlineLevel="0" collapsed="false">
      <c r="A52" s="14" t="s">
        <v>173</v>
      </c>
      <c r="B52" s="56" t="n">
        <v>4.4</v>
      </c>
      <c r="C52" s="43" t="s">
        <v>174</v>
      </c>
      <c r="D52" s="44" t="s">
        <v>175</v>
      </c>
    </row>
    <row r="53" customFormat="false" ht="15" hidden="false" customHeight="false" outlineLevel="0" collapsed="false">
      <c r="A53" s="14" t="s">
        <v>176</v>
      </c>
      <c r="B53" s="49" t="n">
        <v>15000</v>
      </c>
      <c r="C53" s="43" t="s">
        <v>70</v>
      </c>
      <c r="D53" s="44" t="s">
        <v>177</v>
      </c>
    </row>
    <row r="54" customFormat="false" ht="15" hidden="false" customHeight="false" outlineLevel="0" collapsed="false">
      <c r="A54" s="14" t="s">
        <v>178</v>
      </c>
      <c r="B54" s="49" t="n">
        <v>8000</v>
      </c>
      <c r="C54" s="43" t="s">
        <v>87</v>
      </c>
      <c r="D54" s="44" t="s">
        <v>179</v>
      </c>
    </row>
    <row r="55" customFormat="false" ht="15" hidden="false" customHeight="false" outlineLevel="0" collapsed="false">
      <c r="A55" s="14" t="s">
        <v>180</v>
      </c>
      <c r="B55" s="49" t="n">
        <v>15000</v>
      </c>
      <c r="C55" s="43" t="s">
        <v>70</v>
      </c>
      <c r="D55" s="44" t="s">
        <v>181</v>
      </c>
    </row>
    <row r="56" customFormat="false" ht="15" hidden="false" customHeight="false" outlineLevel="0" collapsed="false">
      <c r="A56" s="14" t="s">
        <v>182</v>
      </c>
      <c r="B56" s="49" t="n">
        <v>5000</v>
      </c>
      <c r="C56" s="43" t="s">
        <v>87</v>
      </c>
      <c r="D56" s="44" t="s">
        <v>179</v>
      </c>
    </row>
    <row r="57" customFormat="false" ht="15" hidden="false" customHeight="false" outlineLevel="0" collapsed="false">
      <c r="A57" s="14" t="s">
        <v>183</v>
      </c>
      <c r="B57" s="49" t="n">
        <v>8000</v>
      </c>
      <c r="C57" s="43" t="s">
        <v>70</v>
      </c>
      <c r="D57" s="44" t="s">
        <v>184</v>
      </c>
    </row>
    <row r="58" customFormat="false" ht="15" hidden="false" customHeight="false" outlineLevel="0" collapsed="false">
      <c r="A58" s="14" t="s">
        <v>185</v>
      </c>
      <c r="B58" s="47" t="n">
        <v>0.15</v>
      </c>
      <c r="C58" s="43" t="s">
        <v>101</v>
      </c>
      <c r="D58" s="44" t="s">
        <v>186</v>
      </c>
    </row>
    <row r="59" customFormat="false" ht="15" hidden="false" customHeight="false" outlineLevel="0" collapsed="false">
      <c r="A59" s="57" t="s">
        <v>187</v>
      </c>
      <c r="B59" s="58"/>
      <c r="C59" s="58"/>
      <c r="D59" s="58"/>
    </row>
    <row r="60" customFormat="false" ht="15" hidden="false" customHeight="false" outlineLevel="0" collapsed="false">
      <c r="A60" s="14" t="s">
        <v>188</v>
      </c>
      <c r="B60" s="45" t="n">
        <v>20000</v>
      </c>
      <c r="C60" s="43" t="s">
        <v>70</v>
      </c>
      <c r="D60" s="44" t="s">
        <v>189</v>
      </c>
    </row>
    <row r="61" customFormat="false" ht="15" hidden="false" customHeight="false" outlineLevel="0" collapsed="false">
      <c r="A61" s="14" t="s">
        <v>190</v>
      </c>
      <c r="B61" s="45" t="n">
        <v>30000</v>
      </c>
      <c r="C61" s="43" t="s">
        <v>70</v>
      </c>
      <c r="D61" s="44" t="s">
        <v>191</v>
      </c>
    </row>
    <row r="62" customFormat="false" ht="15" hidden="false" customHeight="false" outlineLevel="0" collapsed="false">
      <c r="A62" s="14" t="s">
        <v>192</v>
      </c>
      <c r="B62" s="46" t="n">
        <v>1</v>
      </c>
      <c r="C62" s="43" t="s">
        <v>193</v>
      </c>
      <c r="D62" s="44" t="s">
        <v>194</v>
      </c>
    </row>
    <row r="63" customFormat="false" ht="15" hidden="false" customHeight="false" outlineLevel="0" collapsed="false">
      <c r="A63" s="57" t="s">
        <v>195</v>
      </c>
      <c r="B63" s="58"/>
      <c r="C63" s="58"/>
      <c r="D63" s="58"/>
    </row>
    <row r="64" customFormat="false" ht="15" hidden="false" customHeight="false" outlineLevel="0" collapsed="false">
      <c r="A64" s="14" t="s">
        <v>196</v>
      </c>
      <c r="B64" s="46" t="n">
        <v>1</v>
      </c>
      <c r="C64" s="43" t="s">
        <v>73</v>
      </c>
      <c r="D64" s="44" t="s">
        <v>197</v>
      </c>
    </row>
    <row r="65" customFormat="false" ht="15" hidden="false" customHeight="false" outlineLevel="0" collapsed="false">
      <c r="A65" s="14" t="s">
        <v>198</v>
      </c>
      <c r="B65" s="46" t="n">
        <v>0.5</v>
      </c>
      <c r="C65" s="43" t="s">
        <v>73</v>
      </c>
      <c r="D65" s="44" t="s">
        <v>199</v>
      </c>
    </row>
    <row r="66" customFormat="false" ht="15" hidden="false" customHeight="false" outlineLevel="0" collapsed="false">
      <c r="A66" s="14" t="s">
        <v>200</v>
      </c>
      <c r="B66" s="47" t="n">
        <v>0.5</v>
      </c>
      <c r="C66" s="43" t="s">
        <v>73</v>
      </c>
      <c r="D66" s="44" t="s">
        <v>201</v>
      </c>
    </row>
    <row r="67" customFormat="false" ht="15" hidden="false" customHeight="false" outlineLevel="0" collapsed="false">
      <c r="A67" s="14" t="s">
        <v>202</v>
      </c>
      <c r="B67" s="47" t="n">
        <v>1</v>
      </c>
      <c r="C67" s="43" t="s">
        <v>73</v>
      </c>
      <c r="D67" s="44" t="s">
        <v>203</v>
      </c>
    </row>
    <row r="68" customFormat="false" ht="15" hidden="false" customHeight="false" outlineLevel="0" collapsed="false">
      <c r="A68" s="14" t="s">
        <v>204</v>
      </c>
      <c r="B68" s="47" t="n">
        <v>0.25</v>
      </c>
      <c r="C68" s="43" t="s">
        <v>73</v>
      </c>
      <c r="D68" s="44" t="s">
        <v>205</v>
      </c>
    </row>
    <row r="69" customFormat="false" ht="15" hidden="false" customHeight="false" outlineLevel="0" collapsed="false">
      <c r="A69" s="57" t="s">
        <v>206</v>
      </c>
      <c r="B69" s="58"/>
      <c r="C69" s="58"/>
      <c r="D69" s="58"/>
    </row>
    <row r="70" customFormat="false" ht="15" hidden="false" customHeight="false" outlineLevel="0" collapsed="false">
      <c r="A70" s="14" t="s">
        <v>207</v>
      </c>
      <c r="B70" s="51" t="n">
        <v>0.01</v>
      </c>
      <c r="C70" s="43" t="s">
        <v>208</v>
      </c>
      <c r="D70" s="44" t="s">
        <v>209</v>
      </c>
    </row>
    <row r="71" customFormat="false" ht="15" hidden="false" customHeight="false" outlineLevel="0" collapsed="false">
      <c r="A71" s="14" t="s">
        <v>210</v>
      </c>
      <c r="B71" s="52" t="n">
        <v>0.045</v>
      </c>
      <c r="C71" s="43" t="s">
        <v>101</v>
      </c>
      <c r="D71" s="44" t="s">
        <v>211</v>
      </c>
    </row>
    <row r="72" customFormat="false" ht="15" hidden="false" customHeight="false" outlineLevel="0" collapsed="false">
      <c r="A72" s="14" t="s">
        <v>212</v>
      </c>
      <c r="B72" s="45" t="n">
        <v>800</v>
      </c>
      <c r="C72" s="43" t="s">
        <v>112</v>
      </c>
      <c r="D72" s="44" t="s">
        <v>213</v>
      </c>
    </row>
    <row r="73" customFormat="false" ht="15" hidden="false" customHeight="false" outlineLevel="0" collapsed="false">
      <c r="A73" s="14" t="s">
        <v>214</v>
      </c>
      <c r="B73" s="46" t="n">
        <v>0.02</v>
      </c>
      <c r="C73" s="43" t="s">
        <v>101</v>
      </c>
      <c r="D73" s="44" t="s">
        <v>215</v>
      </c>
    </row>
    <row r="74" customFormat="false" ht="15" hidden="false" customHeight="false" outlineLevel="0" collapsed="false">
      <c r="A74" s="14" t="s">
        <v>216</v>
      </c>
      <c r="B74" s="47" t="n">
        <v>0.5</v>
      </c>
      <c r="C74" s="43" t="s">
        <v>217</v>
      </c>
      <c r="D74" s="44" t="s">
        <v>218</v>
      </c>
    </row>
    <row r="75" customFormat="false" ht="22.35" hidden="false" customHeight="false" outlineLevel="0" collapsed="false">
      <c r="A75" s="14" t="s">
        <v>219</v>
      </c>
      <c r="B75" s="45" t="n">
        <v>60</v>
      </c>
      <c r="C75" s="43" t="s">
        <v>220</v>
      </c>
      <c r="D75" s="44" t="s">
        <v>221</v>
      </c>
    </row>
    <row r="76" customFormat="false" ht="15" hidden="false" customHeight="false" outlineLevel="0" collapsed="false">
      <c r="A76" s="14" t="s">
        <v>222</v>
      </c>
      <c r="B76" s="46" t="n">
        <v>0.33</v>
      </c>
      <c r="C76" s="43" t="s">
        <v>73</v>
      </c>
      <c r="D76" s="44" t="s">
        <v>223</v>
      </c>
    </row>
    <row r="77" customFormat="false" ht="15" hidden="false" customHeight="false" outlineLevel="0" collapsed="false">
      <c r="A77" s="57" t="s">
        <v>224</v>
      </c>
      <c r="B77" s="58"/>
      <c r="C77" s="58"/>
      <c r="D77" s="58"/>
    </row>
    <row r="78" customFormat="false" ht="15" hidden="false" customHeight="false" outlineLevel="0" collapsed="false">
      <c r="A78" s="14" t="s">
        <v>225</v>
      </c>
      <c r="B78" s="59" t="n">
        <v>3.45</v>
      </c>
      <c r="C78" s="43" t="s">
        <v>226</v>
      </c>
      <c r="D78" s="44" t="s">
        <v>227</v>
      </c>
    </row>
    <row r="79" customFormat="false" ht="15" hidden="false" customHeight="false" outlineLevel="0" collapsed="false">
      <c r="A79" s="14" t="s">
        <v>228</v>
      </c>
      <c r="B79" s="47" t="n">
        <v>0.1</v>
      </c>
      <c r="C79" s="43" t="s">
        <v>229</v>
      </c>
      <c r="D79" s="44" t="s">
        <v>230</v>
      </c>
    </row>
    <row r="80" customFormat="false" ht="15" hidden="false" customHeight="false" outlineLevel="0" collapsed="false">
      <c r="A80" s="14" t="s">
        <v>231</v>
      </c>
      <c r="B80" s="45" t="n">
        <v>10</v>
      </c>
      <c r="C80" s="43" t="s">
        <v>232</v>
      </c>
      <c r="D80" s="44" t="s">
        <v>233</v>
      </c>
    </row>
    <row r="81" customFormat="false" ht="15" hidden="false" customHeight="false" outlineLevel="0" collapsed="false">
      <c r="A81" s="14" t="s">
        <v>234</v>
      </c>
      <c r="B81" s="49" t="n">
        <v>200</v>
      </c>
      <c r="C81" s="43" t="s">
        <v>235</v>
      </c>
      <c r="D81" s="44" t="s">
        <v>230</v>
      </c>
    </row>
    <row r="82" customFormat="false" ht="15" hidden="false" customHeight="false" outlineLevel="0" collapsed="false">
      <c r="A82" s="14" t="s">
        <v>236</v>
      </c>
      <c r="B82" s="49" t="n">
        <v>50</v>
      </c>
      <c r="C82" s="43" t="s">
        <v>235</v>
      </c>
      <c r="D82" s="44" t="s">
        <v>237</v>
      </c>
    </row>
    <row r="83" customFormat="false" ht="15" hidden="false" customHeight="false" outlineLevel="0" collapsed="false">
      <c r="A83" s="57" t="s">
        <v>238</v>
      </c>
      <c r="B83" s="58"/>
      <c r="C83" s="58"/>
      <c r="D83" s="58"/>
    </row>
    <row r="84" customFormat="false" ht="15" hidden="false" customHeight="false" outlineLevel="0" collapsed="false">
      <c r="A84" s="14" t="s">
        <v>239</v>
      </c>
      <c r="B84" s="46" t="n">
        <v>0.5</v>
      </c>
      <c r="C84" s="43" t="s">
        <v>159</v>
      </c>
      <c r="D84" s="44" t="s">
        <v>240</v>
      </c>
    </row>
    <row r="85" customFormat="false" ht="15" hidden="false" customHeight="false" outlineLevel="0" collapsed="false">
      <c r="A85" s="14" t="s">
        <v>241</v>
      </c>
      <c r="B85" s="47" t="n">
        <v>0.7</v>
      </c>
      <c r="C85" s="43" t="s">
        <v>242</v>
      </c>
      <c r="D85" s="44" t="s">
        <v>243</v>
      </c>
    </row>
    <row r="86" customFormat="false" ht="15" hidden="false" customHeight="false" outlineLevel="0" collapsed="false">
      <c r="A86" s="14" t="s">
        <v>244</v>
      </c>
      <c r="B86" s="49" t="n">
        <v>5000</v>
      </c>
      <c r="C86" s="43" t="s">
        <v>70</v>
      </c>
      <c r="D86" s="44" t="s">
        <v>245</v>
      </c>
    </row>
    <row r="87" customFormat="false" ht="15" hidden="false" customHeight="false" outlineLevel="0" collapsed="false">
      <c r="A87" s="14" t="s">
        <v>246</v>
      </c>
      <c r="B87" s="45" t="n">
        <v>120000</v>
      </c>
      <c r="C87" s="43" t="s">
        <v>70</v>
      </c>
      <c r="D87" s="44" t="s">
        <v>247</v>
      </c>
    </row>
    <row r="88" customFormat="false" ht="15" hidden="false" customHeight="false" outlineLevel="0" collapsed="false">
      <c r="A88" s="57" t="s">
        <v>248</v>
      </c>
      <c r="B88" s="58"/>
      <c r="C88" s="58"/>
      <c r="D88" s="58"/>
    </row>
    <row r="89" customFormat="false" ht="15" hidden="false" customHeight="false" outlineLevel="0" collapsed="false">
      <c r="A89" s="14" t="s">
        <v>249</v>
      </c>
      <c r="B89" s="59" t="n">
        <v>0.4</v>
      </c>
      <c r="C89" s="43" t="s">
        <v>81</v>
      </c>
      <c r="D89" s="44" t="s">
        <v>250</v>
      </c>
    </row>
    <row r="90" customFormat="false" ht="15" hidden="false" customHeight="false" outlineLevel="0" collapsed="false">
      <c r="A90" s="14" t="s">
        <v>251</v>
      </c>
      <c r="B90" s="47" t="n">
        <v>0.15</v>
      </c>
      <c r="C90" s="43" t="s">
        <v>73</v>
      </c>
      <c r="D90" s="44" t="s">
        <v>252</v>
      </c>
    </row>
    <row r="91" customFormat="false" ht="15" hidden="false" customHeight="false" outlineLevel="0" collapsed="false">
      <c r="A91" s="14" t="s">
        <v>253</v>
      </c>
      <c r="B91" s="47" t="n">
        <v>0.01</v>
      </c>
      <c r="C91" s="43" t="s">
        <v>254</v>
      </c>
      <c r="D91" s="44" t="s">
        <v>250</v>
      </c>
    </row>
    <row r="92" customFormat="false" ht="15" hidden="false" customHeight="false" outlineLevel="0" collapsed="false">
      <c r="A92" s="14" t="s">
        <v>255</v>
      </c>
      <c r="B92" s="52" t="n">
        <v>0.003</v>
      </c>
      <c r="C92" s="43" t="s">
        <v>254</v>
      </c>
      <c r="D92" s="44" t="s">
        <v>250</v>
      </c>
    </row>
    <row r="93" customFormat="false" ht="15" hidden="false" customHeight="false" outlineLevel="0" collapsed="false">
      <c r="A93" s="14" t="s">
        <v>256</v>
      </c>
      <c r="B93" s="47" t="n">
        <v>0.05</v>
      </c>
      <c r="C93" s="43" t="s">
        <v>257</v>
      </c>
      <c r="D93" s="44" t="s">
        <v>250</v>
      </c>
    </row>
    <row r="94" customFormat="false" ht="15" hidden="false" customHeight="false" outlineLevel="0" collapsed="false">
      <c r="A94" s="57" t="s">
        <v>258</v>
      </c>
      <c r="B94" s="58"/>
      <c r="C94" s="58"/>
      <c r="D94" s="58"/>
    </row>
    <row r="95" customFormat="false" ht="15" hidden="false" customHeight="false" outlineLevel="0" collapsed="false">
      <c r="A95" s="14" t="s">
        <v>259</v>
      </c>
      <c r="B95" s="49" t="n">
        <v>1000</v>
      </c>
      <c r="C95" s="43" t="s">
        <v>70</v>
      </c>
      <c r="D95" s="44" t="s">
        <v>260</v>
      </c>
    </row>
    <row r="96" customFormat="false" ht="15" hidden="false" customHeight="false" outlineLevel="0" collapsed="false">
      <c r="A96" s="14" t="s">
        <v>261</v>
      </c>
      <c r="B96" s="45" t="n">
        <v>100</v>
      </c>
      <c r="C96" s="43" t="s">
        <v>70</v>
      </c>
      <c r="D96" s="44" t="s">
        <v>262</v>
      </c>
    </row>
    <row r="97" customFormat="false" ht="22.35" hidden="false" customHeight="false" outlineLevel="0" collapsed="false">
      <c r="A97" s="14" t="s">
        <v>263</v>
      </c>
      <c r="B97" s="45" t="n">
        <v>5000</v>
      </c>
      <c r="C97" s="43" t="s">
        <v>70</v>
      </c>
      <c r="D97" s="44" t="s">
        <v>264</v>
      </c>
    </row>
    <row r="98" customFormat="false" ht="15" hidden="false" customHeight="false" outlineLevel="0" collapsed="false">
      <c r="A98" s="14" t="s">
        <v>265</v>
      </c>
      <c r="B98" s="45" t="n">
        <v>100</v>
      </c>
      <c r="C98" s="43" t="s">
        <v>70</v>
      </c>
      <c r="D98" s="44" t="s">
        <v>266</v>
      </c>
    </row>
    <row r="99" customFormat="false" ht="15" hidden="false" customHeight="false" outlineLevel="0" collapsed="false">
      <c r="A99" s="14" t="s">
        <v>267</v>
      </c>
      <c r="B99" s="45" t="n">
        <v>3000</v>
      </c>
      <c r="C99" s="43" t="s">
        <v>70</v>
      </c>
      <c r="D99" s="44" t="s">
        <v>268</v>
      </c>
    </row>
    <row r="100" customFormat="false" ht="15" hidden="false" customHeight="false" outlineLevel="0" collapsed="false">
      <c r="A100" s="14" t="s">
        <v>269</v>
      </c>
      <c r="B100" s="45" t="n">
        <v>100</v>
      </c>
      <c r="C100" s="43" t="s">
        <v>70</v>
      </c>
      <c r="D100" s="44" t="s">
        <v>266</v>
      </c>
    </row>
    <row r="101" customFormat="false" ht="15" hidden="false" customHeight="false" outlineLevel="0" collapsed="false">
      <c r="A101" s="14" t="s">
        <v>270</v>
      </c>
      <c r="B101" s="45" t="n">
        <v>1000</v>
      </c>
      <c r="C101" s="43" t="s">
        <v>70</v>
      </c>
      <c r="D101" s="44" t="s">
        <v>271</v>
      </c>
    </row>
    <row r="102" customFormat="false" ht="22.35" hidden="false" customHeight="false" outlineLevel="0" collapsed="false">
      <c r="A102" s="14" t="s">
        <v>272</v>
      </c>
      <c r="B102" s="60" t="n">
        <f aca="false">Assumptions!$B$130+Assumptions!$B$103+Assumptions!$B$131</f>
        <v>0.5068</v>
      </c>
      <c r="C102" s="43" t="s">
        <v>81</v>
      </c>
      <c r="D102" s="44" t="s">
        <v>273</v>
      </c>
    </row>
    <row r="103" customFormat="false" ht="32.8" hidden="false" customHeight="false" outlineLevel="0" collapsed="false">
      <c r="A103" s="14" t="s">
        <v>274</v>
      </c>
      <c r="B103" s="61" t="n">
        <v>0.0883</v>
      </c>
      <c r="C103" s="43" t="s">
        <v>81</v>
      </c>
      <c r="D103" s="44" t="s">
        <v>275</v>
      </c>
    </row>
    <row r="104" customFormat="false" ht="32.8" hidden="false" customHeight="false" outlineLevel="0" collapsed="false">
      <c r="A104" s="14" t="s">
        <v>276</v>
      </c>
      <c r="B104" s="46" t="n">
        <v>0.5</v>
      </c>
      <c r="C104" s="43" t="s">
        <v>277</v>
      </c>
      <c r="D104" s="44" t="s">
        <v>278</v>
      </c>
    </row>
    <row r="105" customFormat="false" ht="15" hidden="false" customHeight="false" outlineLevel="0" collapsed="false">
      <c r="A105" s="14" t="s">
        <v>279</v>
      </c>
      <c r="B105" s="62" t="n">
        <v>2</v>
      </c>
      <c r="C105" s="43" t="s">
        <v>280</v>
      </c>
      <c r="D105" s="44" t="s">
        <v>281</v>
      </c>
    </row>
    <row r="106" customFormat="false" ht="15" hidden="false" customHeight="false" outlineLevel="0" collapsed="false">
      <c r="A106" s="14" t="s">
        <v>282</v>
      </c>
      <c r="B106" s="45" t="n">
        <v>30</v>
      </c>
      <c r="C106" s="43" t="s">
        <v>283</v>
      </c>
      <c r="D106" s="44" t="s">
        <v>284</v>
      </c>
    </row>
    <row r="107" customFormat="false" ht="22.35" hidden="false" customHeight="false" outlineLevel="0" collapsed="false">
      <c r="A107" s="14" t="s">
        <v>285</v>
      </c>
      <c r="B107" s="49" t="n">
        <v>15000</v>
      </c>
      <c r="C107" s="43" t="s">
        <v>286</v>
      </c>
      <c r="D107" s="44" t="s">
        <v>287</v>
      </c>
    </row>
    <row r="108" customFormat="false" ht="15" hidden="false" customHeight="false" outlineLevel="0" collapsed="false">
      <c r="A108" s="14" t="s">
        <v>288</v>
      </c>
      <c r="B108" s="49" t="n">
        <v>5000</v>
      </c>
      <c r="C108" s="43" t="s">
        <v>289</v>
      </c>
      <c r="D108" s="44" t="s">
        <v>290</v>
      </c>
    </row>
    <row r="109" customFormat="false" ht="32.8" hidden="false" customHeight="false" outlineLevel="0" collapsed="false">
      <c r="A109" s="14" t="s">
        <v>291</v>
      </c>
      <c r="B109" s="63" t="s">
        <v>292</v>
      </c>
      <c r="C109" s="43" t="s">
        <v>293</v>
      </c>
      <c r="D109" s="44" t="s">
        <v>294</v>
      </c>
    </row>
    <row r="110" customFormat="false" ht="22.35" hidden="false" customHeight="false" outlineLevel="0" collapsed="false">
      <c r="A110" s="14" t="s">
        <v>295</v>
      </c>
      <c r="B110" s="56" t="n">
        <v>0.09</v>
      </c>
      <c r="C110" s="43" t="s">
        <v>81</v>
      </c>
      <c r="D110" s="44" t="s">
        <v>296</v>
      </c>
    </row>
    <row r="111" customFormat="false" ht="15" hidden="false" customHeight="false" outlineLevel="0" collapsed="false">
      <c r="A111" s="14" t="s">
        <v>297</v>
      </c>
      <c r="B111" s="46" t="n">
        <v>0.3</v>
      </c>
      <c r="C111" s="43" t="s">
        <v>73</v>
      </c>
      <c r="D111" s="44" t="s">
        <v>298</v>
      </c>
    </row>
    <row r="112" customFormat="false" ht="15" hidden="false" customHeight="false" outlineLevel="0" collapsed="false">
      <c r="A112" s="14" t="s">
        <v>299</v>
      </c>
      <c r="B112" s="46" t="n">
        <v>0.2</v>
      </c>
      <c r="C112" s="43" t="s">
        <v>73</v>
      </c>
      <c r="D112" s="44" t="s">
        <v>300</v>
      </c>
    </row>
    <row r="113" customFormat="false" ht="22.35" hidden="false" customHeight="false" outlineLevel="0" collapsed="false">
      <c r="A113" s="14" t="s">
        <v>301</v>
      </c>
      <c r="B113" s="63" t="s">
        <v>302</v>
      </c>
      <c r="C113" s="43" t="s">
        <v>293</v>
      </c>
      <c r="D113" s="44" t="s">
        <v>303</v>
      </c>
    </row>
    <row r="114" customFormat="false" ht="15" hidden="false" customHeight="false" outlineLevel="0" collapsed="false">
      <c r="A114" s="57" t="s">
        <v>304</v>
      </c>
      <c r="B114" s="58"/>
      <c r="C114" s="58"/>
      <c r="D114" s="58"/>
    </row>
    <row r="115" customFormat="false" ht="15" hidden="false" customHeight="false" outlineLevel="0" collapsed="false">
      <c r="A115" s="14" t="s">
        <v>305</v>
      </c>
      <c r="B115" s="46" t="n">
        <v>0.5</v>
      </c>
      <c r="C115" s="43" t="s">
        <v>73</v>
      </c>
      <c r="D115" s="44" t="s">
        <v>306</v>
      </c>
    </row>
    <row r="116" customFormat="false" ht="22.35" hidden="false" customHeight="false" outlineLevel="0" collapsed="false">
      <c r="A116" s="14" t="s">
        <v>307</v>
      </c>
      <c r="B116" s="45" t="n">
        <v>100000</v>
      </c>
      <c r="C116" s="43" t="s">
        <v>70</v>
      </c>
      <c r="D116" s="44" t="s">
        <v>308</v>
      </c>
    </row>
    <row r="117" customFormat="false" ht="15" hidden="false" customHeight="false" outlineLevel="0" collapsed="false">
      <c r="A117" s="14" t="s">
        <v>309</v>
      </c>
      <c r="B117" s="49" t="n">
        <v>25000</v>
      </c>
      <c r="C117" s="43" t="s">
        <v>70</v>
      </c>
      <c r="D117" s="44" t="s">
        <v>310</v>
      </c>
    </row>
    <row r="118" customFormat="false" ht="15" hidden="false" customHeight="false" outlineLevel="0" collapsed="false">
      <c r="A118" s="14" t="s">
        <v>311</v>
      </c>
      <c r="B118" s="59" t="n">
        <v>1</v>
      </c>
      <c r="C118" s="43" t="s">
        <v>81</v>
      </c>
      <c r="D118" s="44" t="s">
        <v>312</v>
      </c>
    </row>
    <row r="119" customFormat="false" ht="15" hidden="false" customHeight="false" outlineLevel="0" collapsed="false">
      <c r="A119" s="14" t="s">
        <v>313</v>
      </c>
      <c r="B119" s="59" t="n">
        <v>1.7</v>
      </c>
      <c r="C119" s="43" t="s">
        <v>81</v>
      </c>
      <c r="D119" s="44" t="s">
        <v>314</v>
      </c>
    </row>
    <row r="120" customFormat="false" ht="15" hidden="false" customHeight="false" outlineLevel="0" collapsed="false">
      <c r="A120" s="14" t="s">
        <v>315</v>
      </c>
      <c r="B120" s="47" t="n">
        <v>0.3</v>
      </c>
      <c r="C120" s="43" t="s">
        <v>73</v>
      </c>
      <c r="D120" s="44" t="s">
        <v>316</v>
      </c>
    </row>
    <row r="121" customFormat="false" ht="15" hidden="false" customHeight="false" outlineLevel="0" collapsed="false">
      <c r="A121" s="14" t="s">
        <v>317</v>
      </c>
      <c r="B121" s="59" t="n">
        <v>0.9</v>
      </c>
      <c r="C121" s="43" t="s">
        <v>81</v>
      </c>
      <c r="D121" s="44" t="s">
        <v>318</v>
      </c>
    </row>
    <row r="122" customFormat="false" ht="15" hidden="false" customHeight="false" outlineLevel="0" collapsed="false">
      <c r="A122" s="14" t="s">
        <v>319</v>
      </c>
      <c r="B122" s="47" t="n">
        <v>0.5</v>
      </c>
      <c r="C122" s="43" t="s">
        <v>73</v>
      </c>
      <c r="D122" s="44" t="s">
        <v>320</v>
      </c>
    </row>
    <row r="123" customFormat="false" ht="15" hidden="false" customHeight="false" outlineLevel="0" collapsed="false">
      <c r="A123" s="14" t="s">
        <v>321</v>
      </c>
      <c r="B123" s="59" t="n">
        <v>0.4</v>
      </c>
      <c r="C123" s="43" t="s">
        <v>322</v>
      </c>
      <c r="D123" s="44" t="s">
        <v>323</v>
      </c>
    </row>
    <row r="124" customFormat="false" ht="15" hidden="false" customHeight="false" outlineLevel="0" collapsed="false">
      <c r="A124" s="14" t="s">
        <v>324</v>
      </c>
      <c r="B124" s="45" t="n">
        <v>10</v>
      </c>
      <c r="C124" s="43" t="s">
        <v>325</v>
      </c>
      <c r="D124" s="44" t="s">
        <v>326</v>
      </c>
    </row>
    <row r="125" customFormat="false" ht="15" hidden="false" customHeight="false" outlineLevel="0" collapsed="false">
      <c r="A125" s="14" t="s">
        <v>327</v>
      </c>
      <c r="B125" s="49" t="n">
        <v>15</v>
      </c>
      <c r="C125" s="43" t="s">
        <v>112</v>
      </c>
      <c r="D125" s="44" t="s">
        <v>328</v>
      </c>
    </row>
    <row r="126" customFormat="false" ht="15" hidden="false" customHeight="false" outlineLevel="0" collapsed="false">
      <c r="A126" s="14" t="s">
        <v>329</v>
      </c>
      <c r="B126" s="45" t="n">
        <v>10</v>
      </c>
      <c r="C126" s="43" t="s">
        <v>330</v>
      </c>
      <c r="D126" s="44" t="s">
        <v>326</v>
      </c>
    </row>
    <row r="127" customFormat="false" ht="15" hidden="false" customHeight="false" outlineLevel="0" collapsed="false">
      <c r="A127" s="14" t="s">
        <v>331</v>
      </c>
      <c r="B127" s="49" t="n">
        <v>3000</v>
      </c>
      <c r="C127" s="43" t="s">
        <v>87</v>
      </c>
      <c r="D127" s="44" t="s">
        <v>332</v>
      </c>
    </row>
    <row r="128" customFormat="false" ht="15" hidden="false" customHeight="false" outlineLevel="0" collapsed="false">
      <c r="A128" s="14" t="s">
        <v>333</v>
      </c>
      <c r="B128" s="49" t="n">
        <v>2</v>
      </c>
      <c r="C128" s="43" t="s">
        <v>334</v>
      </c>
      <c r="D128" s="44" t="s">
        <v>335</v>
      </c>
    </row>
    <row r="129" customFormat="false" ht="15" hidden="false" customHeight="false" outlineLevel="0" collapsed="false">
      <c r="A129" s="14" t="s">
        <v>336</v>
      </c>
      <c r="B129" s="49" t="n">
        <v>50000</v>
      </c>
      <c r="C129" s="43" t="s">
        <v>70</v>
      </c>
      <c r="D129" s="44" t="s">
        <v>337</v>
      </c>
    </row>
    <row r="130" customFormat="false" ht="15" hidden="false" customHeight="false" outlineLevel="0" collapsed="false">
      <c r="A130" s="14" t="s">
        <v>338</v>
      </c>
      <c r="B130" s="61" t="n">
        <v>0.2703</v>
      </c>
      <c r="C130" s="43" t="s">
        <v>81</v>
      </c>
      <c r="D130" s="44" t="s">
        <v>339</v>
      </c>
    </row>
    <row r="131" customFormat="false" ht="15" hidden="false" customHeight="false" outlineLevel="0" collapsed="false">
      <c r="A131" s="14" t="s">
        <v>340</v>
      </c>
      <c r="B131" s="61" t="n">
        <v>0.1482</v>
      </c>
      <c r="C131" s="43" t="s">
        <v>81</v>
      </c>
      <c r="D131" s="44" t="s">
        <v>339</v>
      </c>
    </row>
    <row r="132" customFormat="false" ht="15" hidden="false" customHeight="false" outlineLevel="0" collapsed="false">
      <c r="A132" s="14" t="s">
        <v>341</v>
      </c>
      <c r="B132" s="46" t="n">
        <v>0.7</v>
      </c>
      <c r="C132" s="43" t="s">
        <v>73</v>
      </c>
      <c r="D132" s="44" t="s">
        <v>342</v>
      </c>
    </row>
    <row r="133" customFormat="false" ht="15" hidden="false" customHeight="false" outlineLevel="0" collapsed="false">
      <c r="A133" s="14" t="s">
        <v>343</v>
      </c>
      <c r="B133" s="47" t="n">
        <v>0.1</v>
      </c>
      <c r="C133" s="43" t="s">
        <v>73</v>
      </c>
      <c r="D133" s="44" t="s">
        <v>344</v>
      </c>
    </row>
    <row r="134" customFormat="false" ht="15" hidden="false" customHeight="false" outlineLevel="0" collapsed="false">
      <c r="A134" s="14" t="s">
        <v>345</v>
      </c>
      <c r="B134" s="47" t="n">
        <v>0.1</v>
      </c>
      <c r="C134" s="43" t="s">
        <v>73</v>
      </c>
      <c r="D134" s="44" t="s">
        <v>346</v>
      </c>
    </row>
    <row r="135" customFormat="false" ht="22.35" hidden="false" customHeight="false" outlineLevel="0" collapsed="false">
      <c r="A135" s="14" t="s">
        <v>347</v>
      </c>
      <c r="B135" s="64" t="n">
        <v>1</v>
      </c>
      <c r="C135" s="43" t="s">
        <v>348</v>
      </c>
      <c r="D135" s="44" t="s">
        <v>349</v>
      </c>
    </row>
    <row r="136" customFormat="false" ht="15" hidden="false" customHeight="false" outlineLevel="0" collapsed="false">
      <c r="A136" s="14" t="s">
        <v>350</v>
      </c>
      <c r="B136" s="47" t="n">
        <v>0.5</v>
      </c>
      <c r="C136" s="43" t="s">
        <v>73</v>
      </c>
      <c r="D136" s="44" t="s">
        <v>351</v>
      </c>
    </row>
    <row r="137" customFormat="false" ht="22.35" hidden="false" customHeight="false" outlineLevel="0" collapsed="false">
      <c r="A137" s="14" t="s">
        <v>352</v>
      </c>
      <c r="B137" s="64" t="n">
        <v>7</v>
      </c>
      <c r="C137" s="43" t="s">
        <v>104</v>
      </c>
      <c r="D137" s="44" t="s">
        <v>353</v>
      </c>
    </row>
    <row r="138" customFormat="false" ht="15" hidden="false" customHeight="false" outlineLevel="0" collapsed="false">
      <c r="A138" s="14" t="s">
        <v>354</v>
      </c>
      <c r="B138" s="47" t="n">
        <v>0.33</v>
      </c>
      <c r="C138" s="43" t="s">
        <v>73</v>
      </c>
      <c r="D138" s="44" t="s">
        <v>344</v>
      </c>
    </row>
    <row r="139" customFormat="false" ht="15" hidden="false" customHeight="false" outlineLevel="0" collapsed="false">
      <c r="A139" s="14" t="s">
        <v>355</v>
      </c>
      <c r="B139" s="50" t="n">
        <f aca="false">1-Assumptions!$B$76-Assumptions!$B$138</f>
        <v>0.34</v>
      </c>
      <c r="C139" s="43" t="s">
        <v>73</v>
      </c>
      <c r="D139" s="44" t="s">
        <v>356</v>
      </c>
    </row>
    <row r="140" customFormat="false" ht="22.35" hidden="false" customHeight="false" outlineLevel="0" collapsed="false">
      <c r="A140" s="14" t="s">
        <v>357</v>
      </c>
      <c r="B140" s="45" t="n">
        <v>3000</v>
      </c>
      <c r="C140" s="43" t="s">
        <v>87</v>
      </c>
      <c r="D140" s="44" t="s">
        <v>358</v>
      </c>
    </row>
    <row r="141" customFormat="false" ht="15" hidden="false" customHeight="false" outlineLevel="0" collapsed="false">
      <c r="A141" s="14" t="s">
        <v>359</v>
      </c>
      <c r="B141" s="59" t="n">
        <v>89.27</v>
      </c>
      <c r="C141" s="43" t="s">
        <v>360</v>
      </c>
      <c r="D141" s="44" t="s">
        <v>361</v>
      </c>
    </row>
    <row r="142" customFormat="false" ht="15" hidden="false" customHeight="false" outlineLevel="0" collapsed="false">
      <c r="A142" s="14" t="s">
        <v>362</v>
      </c>
      <c r="B142" s="49" t="n">
        <v>10</v>
      </c>
      <c r="C142" s="43" t="s">
        <v>363</v>
      </c>
      <c r="D142" s="44" t="s">
        <v>364</v>
      </c>
    </row>
    <row r="143" customFormat="false" ht="15" hidden="false" customHeight="false" outlineLevel="0" collapsed="false">
      <c r="A143" s="57" t="s">
        <v>365</v>
      </c>
      <c r="B143" s="58"/>
      <c r="C143" s="58"/>
      <c r="D143" s="58"/>
    </row>
    <row r="144" customFormat="false" ht="15" hidden="false" customHeight="false" outlineLevel="0" collapsed="false">
      <c r="A144" s="14" t="s">
        <v>366</v>
      </c>
      <c r="B144" s="63" t="s">
        <v>367</v>
      </c>
      <c r="C144" s="43" t="s">
        <v>293</v>
      </c>
      <c r="D144" s="44" t="s">
        <v>368</v>
      </c>
    </row>
    <row r="145" customFormat="false" ht="22.35" hidden="false" customHeight="false" outlineLevel="0" collapsed="false">
      <c r="A145" s="14" t="s">
        <v>369</v>
      </c>
      <c r="B145" s="63" t="s">
        <v>370</v>
      </c>
      <c r="C145" s="43" t="s">
        <v>293</v>
      </c>
      <c r="D145" s="44" t="s">
        <v>371</v>
      </c>
    </row>
    <row r="146" customFormat="false" ht="15" hidden="false" customHeight="false" outlineLevel="0" collapsed="false">
      <c r="A146" s="14" t="s">
        <v>372</v>
      </c>
      <c r="B146" s="63" t="s">
        <v>373</v>
      </c>
      <c r="C146" s="43" t="s">
        <v>293</v>
      </c>
      <c r="D146" s="44" t="s">
        <v>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2" style="0" width="11"/>
    <col collapsed="false" customWidth="true" hidden="false" outlineLevel="0" max="7" min="7" style="0" width="14"/>
    <col collapsed="false" customWidth="true" hidden="false" outlineLevel="0" max="8" min="8" style="0" width="80"/>
  </cols>
  <sheetData>
    <row r="1" customFormat="false" ht="17.35" hidden="false" customHeight="false" outlineLevel="0" collapsed="false">
      <c r="A1" s="1" t="s">
        <v>375</v>
      </c>
    </row>
    <row r="2" customFormat="false" ht="15" hidden="false" customHeight="false" outlineLevel="0" collapsed="false">
      <c r="A2" s="2" t="s">
        <v>376</v>
      </c>
    </row>
    <row r="4" customFormat="false" ht="15" hidden="false" customHeight="false" outlineLevel="0" collapsed="false">
      <c r="A4" s="15" t="s">
        <v>61</v>
      </c>
      <c r="B4" s="16" t="s">
        <v>377</v>
      </c>
      <c r="C4" s="16" t="s">
        <v>378</v>
      </c>
      <c r="D4" s="16" t="s">
        <v>379</v>
      </c>
      <c r="E4" s="16" t="s">
        <v>380</v>
      </c>
      <c r="F4" s="16" t="s">
        <v>381</v>
      </c>
      <c r="G4" s="16" t="s">
        <v>63</v>
      </c>
      <c r="H4" s="16" t="s">
        <v>64</v>
      </c>
    </row>
    <row r="5" customFormat="false" ht="22.35" hidden="false" customHeight="false" outlineLevel="0" collapsed="false">
      <c r="A5" s="14" t="s">
        <v>382</v>
      </c>
      <c r="B5" s="62" t="n">
        <v>3</v>
      </c>
      <c r="C5" s="62" t="n">
        <v>3</v>
      </c>
      <c r="D5" s="62" t="n">
        <v>4</v>
      </c>
      <c r="E5" s="62" t="n">
        <v>5</v>
      </c>
      <c r="F5" s="62" t="n">
        <v>5</v>
      </c>
      <c r="G5" s="43" t="s">
        <v>383</v>
      </c>
      <c r="H5" s="44" t="s">
        <v>384</v>
      </c>
    </row>
    <row r="6" customFormat="false" ht="22.35" hidden="false" customHeight="false" outlineLevel="0" collapsed="false">
      <c r="A6" s="14" t="s">
        <v>385</v>
      </c>
      <c r="B6" s="45" t="n">
        <v>15</v>
      </c>
      <c r="C6" s="45" t="n">
        <v>25</v>
      </c>
      <c r="D6" s="45" t="n">
        <v>10</v>
      </c>
      <c r="E6" s="45" t="n">
        <v>10</v>
      </c>
      <c r="F6" s="45" t="n">
        <v>10</v>
      </c>
      <c r="G6" s="43" t="s">
        <v>386</v>
      </c>
      <c r="H6" s="44" t="s">
        <v>387</v>
      </c>
    </row>
    <row r="7" customFormat="false" ht="22.35" hidden="false" customHeight="false" outlineLevel="0" collapsed="false">
      <c r="A7" s="14" t="s">
        <v>388</v>
      </c>
      <c r="B7" s="45" t="n">
        <v>1</v>
      </c>
      <c r="C7" s="45" t="n">
        <v>2</v>
      </c>
      <c r="D7" s="45" t="n">
        <v>2</v>
      </c>
      <c r="E7" s="45" t="n">
        <v>2</v>
      </c>
      <c r="F7" s="45" t="n">
        <v>2</v>
      </c>
      <c r="G7" s="43" t="s">
        <v>334</v>
      </c>
      <c r="H7" s="44" t="s">
        <v>389</v>
      </c>
    </row>
    <row r="8" customFormat="false" ht="15" hidden="false" customHeight="false" outlineLevel="0" collapsed="false">
      <c r="A8" s="14" t="s">
        <v>390</v>
      </c>
      <c r="B8" s="51" t="n">
        <v>0.005</v>
      </c>
      <c r="C8" s="51" t="n">
        <v>0.01</v>
      </c>
      <c r="D8" s="51" t="n">
        <v>0.01</v>
      </c>
      <c r="E8" s="51" t="n">
        <v>0.01</v>
      </c>
      <c r="F8" s="51" t="n">
        <v>0.01</v>
      </c>
      <c r="G8" s="43" t="s">
        <v>391</v>
      </c>
      <c r="H8" s="44" t="s">
        <v>392</v>
      </c>
    </row>
    <row r="9" customFormat="false" ht="15" hidden="false" customHeight="false" outlineLevel="0" collapsed="false">
      <c r="A9" s="14" t="s">
        <v>393</v>
      </c>
      <c r="B9" s="45" t="n">
        <v>1</v>
      </c>
      <c r="C9" s="45" t="n">
        <v>2</v>
      </c>
      <c r="D9" s="45" t="n">
        <v>2</v>
      </c>
      <c r="E9" s="45" t="n">
        <v>2</v>
      </c>
      <c r="F9" s="45" t="n">
        <v>2</v>
      </c>
      <c r="G9" s="43" t="s">
        <v>394</v>
      </c>
      <c r="H9" s="44" t="s">
        <v>395</v>
      </c>
    </row>
    <row r="10" customFormat="false" ht="15" hidden="false" customHeight="false" outlineLevel="0" collapsed="false">
      <c r="A10" s="14" t="s">
        <v>396</v>
      </c>
      <c r="B10" s="65" t="n">
        <v>1</v>
      </c>
      <c r="C10" s="65" t="n">
        <v>0.6</v>
      </c>
      <c r="D10" s="65" t="n">
        <v>0.6</v>
      </c>
      <c r="E10" s="65" t="n">
        <v>0.6</v>
      </c>
      <c r="F10" s="65" t="n">
        <v>0.6</v>
      </c>
      <c r="G10" s="43" t="s">
        <v>397</v>
      </c>
      <c r="H10" s="44" t="s">
        <v>398</v>
      </c>
    </row>
    <row r="11" customFormat="false" ht="15" hidden="false" customHeight="false" outlineLevel="0" collapsed="false">
      <c r="A11" s="14" t="s">
        <v>399</v>
      </c>
      <c r="B11" s="49" t="n">
        <v>0</v>
      </c>
      <c r="C11" s="49" t="n">
        <v>0</v>
      </c>
      <c r="D11" s="49" t="n">
        <v>1</v>
      </c>
      <c r="E11" s="49" t="n">
        <v>1</v>
      </c>
      <c r="F11" s="49" t="n">
        <v>2</v>
      </c>
      <c r="G11" s="43" t="s">
        <v>154</v>
      </c>
      <c r="H11" s="44" t="s">
        <v>400</v>
      </c>
    </row>
    <row r="12" customFormat="false" ht="15" hidden="false" customHeight="false" outlineLevel="0" collapsed="false">
      <c r="A12" s="14" t="s">
        <v>401</v>
      </c>
      <c r="B12" s="49" t="n">
        <v>0</v>
      </c>
      <c r="C12" s="49" t="n">
        <v>18000</v>
      </c>
      <c r="D12" s="49" t="n">
        <v>36000</v>
      </c>
      <c r="E12" s="49" t="n">
        <v>36000</v>
      </c>
      <c r="F12" s="49" t="n">
        <v>48000</v>
      </c>
      <c r="G12" s="43" t="s">
        <v>87</v>
      </c>
      <c r="H12" s="44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402</v>
      </c>
    </row>
    <row r="2" customFormat="false" ht="15" hidden="false" customHeight="false" outlineLevel="0" collapsed="false">
      <c r="A2" s="2" t="s">
        <v>403</v>
      </c>
    </row>
    <row r="4" customFormat="false" ht="15" hidden="false" customHeight="false" outlineLevel="0" collapsed="false">
      <c r="A4" s="15" t="s">
        <v>404</v>
      </c>
      <c r="B4" s="16" t="s">
        <v>18</v>
      </c>
      <c r="C4" s="16" t="s">
        <v>19</v>
      </c>
      <c r="D4" s="16" t="s">
        <v>405</v>
      </c>
      <c r="E4" s="16" t="s">
        <v>406</v>
      </c>
    </row>
    <row r="5" customFormat="false" ht="15" hidden="false" customHeight="false" outlineLevel="0" collapsed="false">
      <c r="A5" s="14" t="s">
        <v>407</v>
      </c>
      <c r="B5" s="21" t="n">
        <f aca="false">Assumptions!$B$64</f>
        <v>1</v>
      </c>
      <c r="C5" s="46" t="n">
        <v>0</v>
      </c>
      <c r="D5" s="66" t="n">
        <f aca="false">IF(B5=0,"",C5/B5-1)</f>
        <v>-1</v>
      </c>
      <c r="E5" s="67" t="s">
        <v>408</v>
      </c>
    </row>
    <row r="6" customFormat="false" ht="15" hidden="false" customHeight="false" outlineLevel="0" collapsed="false">
      <c r="A6" s="14" t="s">
        <v>409</v>
      </c>
      <c r="B6" s="18" t="n">
        <f aca="false">Assumptions!$B$35</f>
        <v>60</v>
      </c>
      <c r="C6" s="55" t="n">
        <f aca="false">C15*C16</f>
        <v>30</v>
      </c>
      <c r="D6" s="66" t="n">
        <f aca="false">IF(B6=0,"",C6/B6-1)</f>
        <v>-0.5</v>
      </c>
      <c r="E6" s="67" t="s">
        <v>410</v>
      </c>
    </row>
    <row r="7" customFormat="false" ht="15" hidden="false" customHeight="false" outlineLevel="0" collapsed="false">
      <c r="A7" s="14" t="s">
        <v>411</v>
      </c>
      <c r="B7" s="18" t="n">
        <f aca="false">Assumptions!$B$24</f>
        <v>1000</v>
      </c>
      <c r="C7" s="45" t="n">
        <v>500</v>
      </c>
      <c r="D7" s="66" t="n">
        <f aca="false">IF(B7=0,"",C7/B7-1)</f>
        <v>-0.5</v>
      </c>
      <c r="E7" s="67" t="s">
        <v>412</v>
      </c>
    </row>
    <row r="8" customFormat="false" ht="15" hidden="false" customHeight="false" outlineLevel="0" collapsed="false">
      <c r="A8" s="14" t="s">
        <v>413</v>
      </c>
      <c r="B8" s="18" t="n">
        <f aca="false">Yearly_Inputs!$C$9</f>
        <v>2</v>
      </c>
      <c r="C8" s="45" t="n">
        <v>1</v>
      </c>
      <c r="D8" s="66" t="n">
        <f aca="false">IF(B8=0,"",C8/B8-1)</f>
        <v>-0.5</v>
      </c>
      <c r="E8" s="67" t="s">
        <v>414</v>
      </c>
    </row>
    <row r="9" customFormat="false" ht="15" hidden="false" customHeight="false" outlineLevel="0" collapsed="false">
      <c r="A9" s="14" t="s">
        <v>415</v>
      </c>
      <c r="B9" s="21" t="n">
        <f aca="false">Assumptions!$B$14</f>
        <v>0.5</v>
      </c>
      <c r="C9" s="46" t="n">
        <v>0.3</v>
      </c>
      <c r="D9" s="66" t="n">
        <f aca="false">IF(B9=0,"",C9/B9-1)</f>
        <v>-0.4</v>
      </c>
      <c r="E9" s="67" t="s">
        <v>416</v>
      </c>
    </row>
    <row r="10" customFormat="false" ht="15" hidden="false" customHeight="false" outlineLevel="0" collapsed="false">
      <c r="A10" s="14" t="s">
        <v>185</v>
      </c>
      <c r="B10" s="21" t="n">
        <f aca="false">Assumptions!$B$58</f>
        <v>0.15</v>
      </c>
      <c r="C10" s="46" t="n">
        <v>0.2</v>
      </c>
      <c r="D10" s="66" t="n">
        <f aca="false">IF(B10=0,"",C10/B10-1)</f>
        <v>0.333333333333334</v>
      </c>
      <c r="E10" s="67" t="s">
        <v>417</v>
      </c>
    </row>
    <row r="11" customFormat="false" ht="15" hidden="false" customHeight="false" outlineLevel="0" collapsed="false">
      <c r="A11" s="14" t="s">
        <v>418</v>
      </c>
      <c r="B11" s="47" t="n">
        <f aca="false">0</f>
        <v>0</v>
      </c>
      <c r="C11" s="46" t="n">
        <v>0.2</v>
      </c>
      <c r="D11" s="66" t="str">
        <f aca="false">IF(B11=0,"",C11/B11-1)</f>
        <v/>
      </c>
      <c r="E11" s="67" t="s">
        <v>419</v>
      </c>
    </row>
    <row r="12" customFormat="false" ht="15" hidden="false" customHeight="false" outlineLevel="0" collapsed="false">
      <c r="A12" s="14" t="s">
        <v>420</v>
      </c>
      <c r="B12" s="68" t="n">
        <f aca="false">Yearly_Inputs!$C$10</f>
        <v>0.6</v>
      </c>
      <c r="C12" s="65" t="n">
        <v>0.4</v>
      </c>
      <c r="D12" s="66" t="n">
        <f aca="false">IF(B12=0,"",C12/B12-1)</f>
        <v>-0.333333333333333</v>
      </c>
      <c r="E12" s="67" t="s">
        <v>421</v>
      </c>
    </row>
    <row r="13" customFormat="false" ht="15" hidden="false" customHeight="false" outlineLevel="0" collapsed="false">
      <c r="A13" s="14" t="s">
        <v>422</v>
      </c>
      <c r="B13" s="21" t="n">
        <f aca="false">Assumptions!$B$73</f>
        <v>0.02</v>
      </c>
      <c r="C13" s="46" t="n">
        <v>0.1</v>
      </c>
      <c r="D13" s="66" t="n">
        <f aca="false">IF(B13=0,"",C13/B13-1)</f>
        <v>4</v>
      </c>
      <c r="E13" s="67" t="s">
        <v>423</v>
      </c>
    </row>
    <row r="14" customFormat="false" ht="15" hidden="false" customHeight="false" outlineLevel="0" collapsed="false">
      <c r="A14" s="14" t="s">
        <v>424</v>
      </c>
      <c r="B14" s="18" t="n">
        <f aca="false">Yearly_Inputs!$D$11</f>
        <v>1</v>
      </c>
      <c r="C14" s="45" t="n">
        <v>0</v>
      </c>
      <c r="D14" s="66" t="n">
        <f aca="false">IF(B14=0,"",C14/B14-1)</f>
        <v>-1</v>
      </c>
      <c r="E14" s="67" t="s">
        <v>425</v>
      </c>
    </row>
    <row r="15" customFormat="false" ht="15" hidden="false" customHeight="false" outlineLevel="0" collapsed="false">
      <c r="A15" s="14" t="s">
        <v>426</v>
      </c>
      <c r="B15" s="69" t="n">
        <f aca="false">Assumptions!$B$105</f>
        <v>2</v>
      </c>
      <c r="C15" s="62" t="n">
        <v>1.5</v>
      </c>
      <c r="D15" s="66" t="n">
        <f aca="false">IF(B15=0,"",C15/B15-1)</f>
        <v>-0.25</v>
      </c>
      <c r="E15" s="67" t="s">
        <v>427</v>
      </c>
    </row>
    <row r="16" customFormat="false" ht="15" hidden="false" customHeight="false" outlineLevel="0" collapsed="false">
      <c r="A16" s="14" t="s">
        <v>428</v>
      </c>
      <c r="B16" s="18" t="n">
        <f aca="false">Assumptions!$B$106</f>
        <v>30</v>
      </c>
      <c r="C16" s="45" t="n">
        <v>20</v>
      </c>
      <c r="D16" s="66" t="n">
        <f aca="false">IF(B16=0,"",C16/B16-1)</f>
        <v>-0.333333333333333</v>
      </c>
      <c r="E16" s="67" t="s">
        <v>429</v>
      </c>
    </row>
    <row r="17" customFormat="false" ht="15" hidden="false" customHeight="false" outlineLevel="0" collapsed="false">
      <c r="A17" s="14" t="s">
        <v>430</v>
      </c>
      <c r="B17" s="47" t="n">
        <f aca="false">0</f>
        <v>0</v>
      </c>
      <c r="C17" s="46" t="n">
        <v>0.2</v>
      </c>
      <c r="D17" s="66" t="str">
        <f aca="false">IF(B17=0,"",C17/B17-1)</f>
        <v/>
      </c>
      <c r="E17" s="67" t="s">
        <v>431</v>
      </c>
    </row>
    <row r="18" customFormat="false" ht="15" hidden="false" customHeight="false" outlineLevel="0" collapsed="false">
      <c r="A18" s="14" t="s">
        <v>432</v>
      </c>
      <c r="B18" s="47" t="n">
        <f aca="false">0</f>
        <v>0</v>
      </c>
      <c r="C18" s="46" t="n">
        <v>0.5</v>
      </c>
      <c r="D18" s="66" t="str">
        <f aca="false">IF(B18=0,"",C18/B18-1)</f>
        <v/>
      </c>
      <c r="E18" s="67" t="s">
        <v>433</v>
      </c>
    </row>
    <row r="19" customFormat="false" ht="15" hidden="false" customHeight="false" outlineLevel="0" collapsed="false">
      <c r="A19" s="14" t="s">
        <v>434</v>
      </c>
      <c r="B19" s="47" t="n">
        <f aca="false">0</f>
        <v>0</v>
      </c>
      <c r="C19" s="46" t="n">
        <v>0.1</v>
      </c>
      <c r="D19" s="66" t="str">
        <f aca="false">IF(B19=0,"",C19/B19-1)</f>
        <v/>
      </c>
      <c r="E19" s="67" t="s">
        <v>435</v>
      </c>
    </row>
    <row r="20" customFormat="false" ht="15" hidden="false" customHeight="false" outlineLevel="0" collapsed="false">
      <c r="A20" s="14" t="s">
        <v>436</v>
      </c>
      <c r="B20" s="42" t="n">
        <f aca="false">1</f>
        <v>1</v>
      </c>
      <c r="C20" s="64" t="n">
        <v>0</v>
      </c>
      <c r="D20" s="66" t="n">
        <f aca="false">IF(B20=0,"",C20/B20-1)</f>
        <v>-1</v>
      </c>
      <c r="E20" s="67" t="s">
        <v>437</v>
      </c>
    </row>
    <row r="21" customFormat="false" ht="15" hidden="false" customHeight="false" outlineLevel="0" collapsed="false">
      <c r="A21" s="14" t="s">
        <v>438</v>
      </c>
      <c r="B21" s="18" t="n">
        <f aca="false">Assumptions!$B$124</f>
        <v>10</v>
      </c>
      <c r="C21" s="45" t="n">
        <v>5</v>
      </c>
      <c r="D21" s="66" t="n">
        <f aca="false">IF(B21=0,"",C21/B21-1)</f>
        <v>-0.5</v>
      </c>
      <c r="E21" s="67" t="s">
        <v>439</v>
      </c>
    </row>
    <row r="22" customFormat="false" ht="15" hidden="false" customHeight="false" outlineLevel="0" collapsed="false">
      <c r="A22" s="14" t="s">
        <v>440</v>
      </c>
      <c r="B22" s="18" t="n">
        <f aca="false">Assumptions!$B$126</f>
        <v>10</v>
      </c>
      <c r="C22" s="45" t="n">
        <v>5</v>
      </c>
      <c r="D22" s="66" t="n">
        <f aca="false">IF(B22=0,"",C22/B22-1)</f>
        <v>-0.5</v>
      </c>
      <c r="E22" s="67" t="s">
        <v>441</v>
      </c>
    </row>
    <row r="23" customFormat="false" ht="15" hidden="false" customHeight="false" outlineLevel="0" collapsed="false">
      <c r="A23" s="14" t="s">
        <v>442</v>
      </c>
      <c r="B23" s="21" t="n">
        <f aca="false">Assumptions!$B$111</f>
        <v>0.3</v>
      </c>
      <c r="C23" s="70" t="n">
        <f aca="false">Assumptions!$B$112</f>
        <v>0.2</v>
      </c>
      <c r="D23" s="66" t="n">
        <f aca="false">IF(B23=0,"",C23/B23-1)</f>
        <v>-0.333333333333333</v>
      </c>
      <c r="E23" s="67" t="s">
        <v>443</v>
      </c>
    </row>
    <row r="24" customFormat="false" ht="15" hidden="false" customHeight="false" outlineLevel="0" collapsed="false">
      <c r="A24" s="14" t="s">
        <v>444</v>
      </c>
      <c r="B24" s="71" t="n">
        <f aca="false">Assumptions!$B$32</f>
        <v>1.4</v>
      </c>
      <c r="C24" s="72" t="n">
        <f aca="false">Assumptions!$B$32*(1-Scenarios!$C$11)</f>
        <v>1.12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0"/>
    <col collapsed="false" customWidth="true" hidden="false" outlineLevel="0" max="7" min="3" style="0" width="14"/>
  </cols>
  <sheetData>
    <row r="1" customFormat="false" ht="17.35" hidden="false" customHeight="false" outlineLevel="0" collapsed="false">
      <c r="A1" s="1" t="s">
        <v>445</v>
      </c>
    </row>
    <row r="2" customFormat="false" ht="15" hidden="false" customHeight="false" outlineLevel="0" collapsed="false">
      <c r="A2" s="2" t="s">
        <v>446</v>
      </c>
    </row>
    <row r="4" customFormat="false" ht="15" hidden="false" customHeight="false" outlineLevel="0" collapsed="false">
      <c r="A4" s="15" t="s">
        <v>447</v>
      </c>
      <c r="B4" s="16" t="s">
        <v>63</v>
      </c>
      <c r="C4" s="16" t="s">
        <v>448</v>
      </c>
      <c r="D4" s="16" t="s">
        <v>449</v>
      </c>
      <c r="E4" s="16" t="s">
        <v>450</v>
      </c>
      <c r="F4" s="16" t="s">
        <v>451</v>
      </c>
      <c r="G4" s="16" t="s">
        <v>452</v>
      </c>
    </row>
    <row r="5" customFormat="false" ht="15" hidden="false" customHeight="false" outlineLevel="0" collapsed="false">
      <c r="A5" s="40" t="s">
        <v>453</v>
      </c>
      <c r="B5" s="41"/>
      <c r="C5" s="41"/>
      <c r="D5" s="41"/>
      <c r="E5" s="41"/>
      <c r="F5" s="41"/>
      <c r="G5" s="41"/>
    </row>
    <row r="6" customFormat="false" ht="15" hidden="false" customHeight="false" outlineLevel="0" collapsed="false">
      <c r="A6" s="14" t="s">
        <v>454</v>
      </c>
      <c r="B6" s="43"/>
      <c r="C6" s="42" t="n">
        <v>1</v>
      </c>
      <c r="D6" s="42" t="n">
        <v>2</v>
      </c>
      <c r="E6" s="42" t="n">
        <v>3</v>
      </c>
      <c r="F6" s="42" t="n">
        <v>4</v>
      </c>
      <c r="G6" s="42" t="n">
        <v>5</v>
      </c>
    </row>
    <row r="7" customFormat="false" ht="15" hidden="false" customHeight="false" outlineLevel="0" collapsed="false">
      <c r="A7" s="14" t="s">
        <v>455</v>
      </c>
      <c r="B7" s="43"/>
      <c r="C7" s="73" t="n">
        <f aca="false">((1+Assumptions!$B$19)^Assumptions!$B$20-(1+Assumptions!$B$19)^C6)/((1+Assumptions!$B$19)^Assumptions!$B$20-1)</f>
        <v>0.819025201871732</v>
      </c>
      <c r="D7" s="73" t="n">
        <f aca="false">((1+Assumptions!$B$19)^Assumptions!$B$20-(1+Assumptions!$B$19)^D6)/((1+Assumptions!$B$19)^Assumptions!$B$20-1)</f>
        <v>0.629001663837051</v>
      </c>
      <c r="E7" s="73" t="n">
        <f aca="false">((1+Assumptions!$B$19)^Assumptions!$B$20-(1+Assumptions!$B$19)^E6)/((1+Assumptions!$B$19)^Assumptions!$B$20-1)</f>
        <v>0.429476948900635</v>
      </c>
      <c r="F7" s="73" t="n">
        <f aca="false">((1+Assumptions!$B$19)^Assumptions!$B$20-(1+Assumptions!$B$19)^F6)/((1+Assumptions!$B$19)^Assumptions!$B$20-1)</f>
        <v>0.219975998217398</v>
      </c>
      <c r="G7" s="73" t="n">
        <f aca="false">((1+Assumptions!$B$19)^Assumptions!$B$20-(1+Assumptions!$B$19)^G6)/((1+Assumptions!$B$19)^Assumptions!$B$20-1)</f>
        <v>0</v>
      </c>
    </row>
    <row r="8" customFormat="false" ht="15" hidden="false" customHeight="false" outlineLevel="0" collapsed="false">
      <c r="A8" s="14" t="s">
        <v>456</v>
      </c>
      <c r="B8" s="43"/>
      <c r="C8" s="73" t="n">
        <f aca="false">0.5</f>
        <v>0.5</v>
      </c>
      <c r="D8" s="73" t="n">
        <f aca="false">(1+C7)/2</f>
        <v>0.909512600935866</v>
      </c>
      <c r="E8" s="73" t="n">
        <f aca="false">(C7+D7)/2</f>
        <v>0.724013432854391</v>
      </c>
      <c r="F8" s="73" t="n">
        <f aca="false">(D7+E7)/2</f>
        <v>0.529239306368843</v>
      </c>
      <c r="G8" s="73" t="n">
        <f aca="false">(E7+F7)/2</f>
        <v>0.324726473559017</v>
      </c>
    </row>
    <row r="9" customFormat="false" ht="15" hidden="false" customHeight="false" outlineLevel="0" collapsed="false">
      <c r="A9" s="14" t="s">
        <v>457</v>
      </c>
      <c r="B9" s="43"/>
      <c r="C9" s="73" t="n">
        <f aca="false">0.5</f>
        <v>0.5</v>
      </c>
      <c r="D9" s="73" t="n">
        <f aca="false">1</f>
        <v>1</v>
      </c>
      <c r="E9" s="73" t="n">
        <f aca="false">1</f>
        <v>1</v>
      </c>
      <c r="F9" s="73" t="n">
        <f aca="false">1</f>
        <v>1</v>
      </c>
      <c r="G9" s="73" t="n">
        <f aca="false">1</f>
        <v>1</v>
      </c>
    </row>
    <row r="10" customFormat="false" ht="15" hidden="false" customHeight="false" outlineLevel="0" collapsed="false">
      <c r="A10" s="14" t="s">
        <v>458</v>
      </c>
      <c r="B10" s="43"/>
      <c r="C10" s="73" t="n">
        <f aca="false">MAX(0,((1+Assumptions!$B$26)^Assumptions!$B$27-(1+Assumptions!$B$26)^C6)/((1+Assumptions!$B$26)^Assumptions!$B$27-1))</f>
        <v>0.68742429807219</v>
      </c>
      <c r="D10" s="73" t="n">
        <f aca="false">MAX(0,((1+Assumptions!$B$26)^Assumptions!$B$27-(1+Assumptions!$B$26)^D6)/((1+Assumptions!$B$26)^Assumptions!$B$27-1))</f>
        <v>0.354531175519072</v>
      </c>
      <c r="E10" s="73" t="n">
        <f aca="false">MAX(0,((1+Assumptions!$B$26)^Assumptions!$B$27-(1+Assumptions!$B$26)^E6)/((1+Assumptions!$B$26)^Assumptions!$B$27-1))</f>
        <v>0</v>
      </c>
      <c r="F10" s="73" t="n">
        <f aca="false">MAX(0,((1+Assumptions!$B$26)^Assumptions!$B$27-(1+Assumptions!$B$26)^F6)/((1+Assumptions!$B$26)^Assumptions!$B$27-1))</f>
        <v>0</v>
      </c>
      <c r="G10" s="73" t="n">
        <f aca="false">MAX(0,((1+Assumptions!$B$26)^Assumptions!$B$27-(1+Assumptions!$B$26)^G6)/((1+Assumptions!$B$26)^Assumptions!$B$27-1))</f>
        <v>0</v>
      </c>
    </row>
    <row r="11" customFormat="false" ht="15" hidden="false" customHeight="false" outlineLevel="0" collapsed="false">
      <c r="A11" s="14" t="s">
        <v>459</v>
      </c>
      <c r="B11" s="43"/>
      <c r="C11" s="73" t="n">
        <f aca="false">0.5</f>
        <v>0.5</v>
      </c>
      <c r="D11" s="73" t="n">
        <f aca="false">(1+C10)/2</f>
        <v>0.843712149036095</v>
      </c>
      <c r="E11" s="73" t="n">
        <f aca="false">(C10+D10)/2</f>
        <v>0.520977736795631</v>
      </c>
      <c r="F11" s="73" t="n">
        <f aca="false">(D10+E10)/2</f>
        <v>0.177265587759536</v>
      </c>
      <c r="G11" s="73" t="n">
        <f aca="false">(E10+F10)/2</f>
        <v>0</v>
      </c>
    </row>
    <row r="12" customFormat="false" ht="15" hidden="false" customHeight="false" outlineLevel="0" collapsed="false">
      <c r="A12" s="14" t="s">
        <v>460</v>
      </c>
      <c r="B12" s="43"/>
      <c r="C12" s="73" t="n">
        <f aca="false">0.5</f>
        <v>0.5</v>
      </c>
      <c r="D12" s="73" t="n">
        <f aca="false">1</f>
        <v>1</v>
      </c>
      <c r="E12" s="73" t="n">
        <f aca="false">1</f>
        <v>1</v>
      </c>
      <c r="F12" s="73" t="n">
        <f aca="false">0.5</f>
        <v>0.5</v>
      </c>
      <c r="G12" s="73" t="n">
        <f aca="false">0</f>
        <v>0</v>
      </c>
    </row>
    <row r="13" customFormat="false" ht="15" hidden="false" customHeight="false" outlineLevel="0" collapsed="false">
      <c r="A13" s="14" t="s">
        <v>461</v>
      </c>
      <c r="B13" s="43"/>
      <c r="C13" s="73" t="n">
        <f aca="false">0.5*(1+(1-0.5/Assumptions!$B$137))/2</f>
        <v>0.482142857142857</v>
      </c>
      <c r="D13" s="73" t="n">
        <f aca="false">MAX(0,1-1/Assumptions!$B$137)</f>
        <v>0.857142857142857</v>
      </c>
      <c r="E13" s="73" t="n">
        <f aca="false">MAX(0,1-2/Assumptions!$B$137)</f>
        <v>0.714285714285714</v>
      </c>
      <c r="F13" s="73" t="n">
        <f aca="false">MAX(0,1-3/Assumptions!$B$137)</f>
        <v>0.571428571428571</v>
      </c>
      <c r="G13" s="73" t="n">
        <f aca="false">MAX(0,1-4/Assumptions!$B$137)</f>
        <v>0.428571428571429</v>
      </c>
    </row>
    <row r="14" customFormat="false" ht="15" hidden="false" customHeight="false" outlineLevel="0" collapsed="false">
      <c r="A14" s="14" t="s">
        <v>462</v>
      </c>
      <c r="B14" s="43"/>
      <c r="C14" s="73" t="n">
        <f aca="false">0.5/Assumptions!$B$137</f>
        <v>0.0714285714285714</v>
      </c>
      <c r="D14" s="73" t="n">
        <f aca="false">IF(2-0.5&lt;=Assumptions!$B$137,1/Assumptions!$B$137,0)</f>
        <v>0.142857142857143</v>
      </c>
      <c r="E14" s="73" t="n">
        <f aca="false">IF(3-0.5&lt;=Assumptions!$B$137,1/Assumptions!$B$137,0)</f>
        <v>0.142857142857143</v>
      </c>
      <c r="F14" s="73" t="n">
        <f aca="false">IF(4-0.5&lt;=Assumptions!$B$137,1/Assumptions!$B$137,0)</f>
        <v>0.142857142857143</v>
      </c>
      <c r="G14" s="73" t="n">
        <f aca="false">IF(5-0.5&lt;=Assumptions!$B$137,1/Assumptions!$B$137,0)</f>
        <v>0.142857142857143</v>
      </c>
    </row>
    <row r="15" customFormat="false" ht="15" hidden="false" customHeight="false" outlineLevel="0" collapsed="false">
      <c r="A15" s="40" t="s">
        <v>463</v>
      </c>
      <c r="B15" s="41"/>
      <c r="C15" s="41"/>
      <c r="D15" s="41"/>
      <c r="E15" s="41"/>
      <c r="F15" s="41"/>
      <c r="G15" s="41"/>
    </row>
    <row r="16" customFormat="false" ht="15" hidden="false" customHeight="false" outlineLevel="0" collapsed="false">
      <c r="A16" s="14" t="s">
        <v>464</v>
      </c>
      <c r="B16" s="43" t="s">
        <v>383</v>
      </c>
      <c r="C16" s="69" t="n">
        <f aca="false">Yearly_Inputs!$B$5</f>
        <v>3</v>
      </c>
      <c r="D16" s="69" t="n">
        <f aca="false">Yearly_Inputs!$C$5</f>
        <v>3</v>
      </c>
      <c r="E16" s="69" t="n">
        <f aca="false">Yearly_Inputs!$D$5</f>
        <v>4</v>
      </c>
      <c r="F16" s="69" t="n">
        <f aca="false">Yearly_Inputs!$E$5</f>
        <v>5</v>
      </c>
      <c r="G16" s="69" t="n">
        <f aca="false">Yearly_Inputs!$F$5</f>
        <v>5</v>
      </c>
    </row>
    <row r="17" customFormat="false" ht="15" hidden="false" customHeight="false" outlineLevel="0" collapsed="false">
      <c r="A17" s="14" t="s">
        <v>465</v>
      </c>
      <c r="B17" s="43" t="s">
        <v>70</v>
      </c>
      <c r="C17" s="53" t="n">
        <f aca="false">C16*1000*Assumptions!$B$16*Assumptions!$B$18</f>
        <v>2880000</v>
      </c>
      <c r="D17" s="53" t="n">
        <f aca="false">D16*1000*Assumptions!$B$16*Assumptions!$B$18</f>
        <v>2880000</v>
      </c>
      <c r="E17" s="53" t="n">
        <f aca="false">E16*1000*Assumptions!$B$16*Assumptions!$B$18</f>
        <v>3840000</v>
      </c>
      <c r="F17" s="53" t="n">
        <f aca="false">F16*1000*Assumptions!$B$16*Assumptions!$B$18</f>
        <v>4800000</v>
      </c>
      <c r="G17" s="53" t="n">
        <f aca="false">G16*1000*Assumptions!$B$16*Assumptions!$B$18</f>
        <v>4800000</v>
      </c>
    </row>
    <row r="18" customFormat="false" ht="15" hidden="false" customHeight="false" outlineLevel="0" collapsed="false">
      <c r="A18" s="14" t="s">
        <v>466</v>
      </c>
      <c r="B18" s="43" t="s">
        <v>70</v>
      </c>
      <c r="C18" s="53" t="n">
        <f aca="false">C17*C8</f>
        <v>1440000</v>
      </c>
      <c r="D18" s="53" t="n">
        <f aca="false">C17*D8+D17*C8</f>
        <v>4059396.29069529</v>
      </c>
      <c r="E18" s="53" t="n">
        <f aca="false">C17*E8+D17*D8+E17*C8</f>
        <v>6624554.97731594</v>
      </c>
      <c r="F18" s="53" t="n">
        <f aca="false">C17*F8+D17*E8+E17*D8+F17*C8</f>
        <v>9501896.27655664</v>
      </c>
      <c r="G18" s="53" t="n">
        <f aca="false">C17*G8+D17*F8+E17*E8+F17*D8+G17*C8</f>
        <v>12005293.5128453</v>
      </c>
    </row>
    <row r="19" customFormat="false" ht="15" hidden="false" customHeight="false" outlineLevel="0" collapsed="false">
      <c r="A19" s="14" t="s">
        <v>467</v>
      </c>
      <c r="B19" s="43" t="s">
        <v>468</v>
      </c>
      <c r="C19" s="73" t="n">
        <f aca="false">PMT(Assumptions!$B$19,Assumptions!$B$20,-1)</f>
        <v>0.230974798128268</v>
      </c>
      <c r="D19" s="73" t="n">
        <f aca="false">PMT(Assumptions!$B$19,Assumptions!$B$20,-1)</f>
        <v>0.230974798128268</v>
      </c>
      <c r="E19" s="73" t="n">
        <f aca="false">PMT(Assumptions!$B$19,Assumptions!$B$20,-1)</f>
        <v>0.230974798128268</v>
      </c>
      <c r="F19" s="73" t="n">
        <f aca="false">PMT(Assumptions!$B$19,Assumptions!$B$20,-1)</f>
        <v>0.230974798128268</v>
      </c>
      <c r="G19" s="73" t="n">
        <f aca="false">PMT(Assumptions!$B$19,Assumptions!$B$20,-1)</f>
        <v>0.230974798128268</v>
      </c>
    </row>
    <row r="20" customFormat="false" ht="15" hidden="false" customHeight="false" outlineLevel="0" collapsed="false">
      <c r="A20" s="14" t="s">
        <v>469</v>
      </c>
      <c r="B20" s="43" t="s">
        <v>70</v>
      </c>
      <c r="C20" s="53" t="n">
        <f aca="false">(C17*C9)*C19</f>
        <v>332603.709304706</v>
      </c>
      <c r="D20" s="53" t="n">
        <f aca="false">(C17*D9+D17*C9)*D19</f>
        <v>997811.127914118</v>
      </c>
      <c r="E20" s="53" t="n">
        <f aca="false">(C17*E9+D17*D9+E17*C9)*E19</f>
        <v>1773886.4496251</v>
      </c>
      <c r="F20" s="53" t="n">
        <f aca="false">(C17*F9+D17*E9+E17*D9+F17*C9)*F19</f>
        <v>2771697.57753922</v>
      </c>
      <c r="G20" s="53" t="n">
        <f aca="false">(C17*G9+D17*F9+E17*E9+F17*D9+G17*C9)*G19</f>
        <v>3880376.6085549</v>
      </c>
    </row>
    <row r="21" customFormat="false" ht="15" hidden="false" customHeight="false" outlineLevel="0" collapsed="false">
      <c r="A21" s="14" t="s">
        <v>470</v>
      </c>
      <c r="B21" s="43" t="s">
        <v>383</v>
      </c>
      <c r="C21" s="74" t="n">
        <f aca="false">C16*C9</f>
        <v>1.5</v>
      </c>
      <c r="D21" s="74" t="n">
        <f aca="false">C16*D9+D16*C9</f>
        <v>4.5</v>
      </c>
      <c r="E21" s="74" t="n">
        <f aca="false">C16*E9+D16*D9+E16*C9</f>
        <v>8</v>
      </c>
      <c r="F21" s="74" t="n">
        <f aca="false">C16*F9+D16*E9+E16*D9+F16*C9</f>
        <v>12.5</v>
      </c>
      <c r="G21" s="74" t="n">
        <f aca="false">C16*G9+D16*F9+E16*E9+F16*D9+G16*C9</f>
        <v>17.5</v>
      </c>
    </row>
    <row r="22" customFormat="false" ht="15" hidden="false" customHeight="false" outlineLevel="0" collapsed="false">
      <c r="A22" s="14" t="s">
        <v>471</v>
      </c>
      <c r="B22" s="43" t="s">
        <v>472</v>
      </c>
      <c r="C22" s="53" t="n">
        <f aca="false">C21*Assumptions!$B$17</f>
        <v>1875</v>
      </c>
      <c r="D22" s="53" t="n">
        <f aca="false">D21*Assumptions!$B$17</f>
        <v>5625</v>
      </c>
      <c r="E22" s="53" t="n">
        <f aca="false">E21*Assumptions!$B$17</f>
        <v>10000</v>
      </c>
      <c r="F22" s="53" t="n">
        <f aca="false">F21*Assumptions!$B$17</f>
        <v>15625</v>
      </c>
      <c r="G22" s="53" t="n">
        <f aca="false">G21*Assumptions!$B$17</f>
        <v>21875</v>
      </c>
    </row>
    <row r="23" customFormat="false" ht="15" hidden="false" customHeight="false" outlineLevel="0" collapsed="false">
      <c r="A23" s="14" t="s">
        <v>473</v>
      </c>
      <c r="B23" s="43" t="s">
        <v>474</v>
      </c>
      <c r="C23" s="53" t="n">
        <f aca="false">C22*Assumptions!$B$12</f>
        <v>1387.5</v>
      </c>
      <c r="D23" s="53" t="n">
        <f aca="false">D22*Assumptions!$B$12</f>
        <v>4162.5</v>
      </c>
      <c r="E23" s="53" t="n">
        <f aca="false">E22*Assumptions!$B$12</f>
        <v>7400</v>
      </c>
      <c r="F23" s="53" t="n">
        <f aca="false">F22*Assumptions!$B$12</f>
        <v>11562.5</v>
      </c>
      <c r="G23" s="53" t="n">
        <f aca="false">G22*Assumptions!$B$12</f>
        <v>16187.5</v>
      </c>
    </row>
    <row r="24" customFormat="false" ht="15" hidden="false" customHeight="false" outlineLevel="0" collapsed="false">
      <c r="A24" s="40" t="s">
        <v>108</v>
      </c>
      <c r="B24" s="41"/>
      <c r="C24" s="41"/>
      <c r="D24" s="41"/>
      <c r="E24" s="41"/>
      <c r="F24" s="41"/>
      <c r="G24" s="41"/>
    </row>
    <row r="25" customFormat="false" ht="15" hidden="false" customHeight="false" outlineLevel="0" collapsed="false">
      <c r="A25" s="14" t="s">
        <v>475</v>
      </c>
      <c r="B25" s="43" t="s">
        <v>386</v>
      </c>
      <c r="C25" s="18" t="n">
        <f aca="false">Yearly_Inputs!$B$6</f>
        <v>15</v>
      </c>
      <c r="D25" s="18" t="n">
        <f aca="false">Yearly_Inputs!$C$6</f>
        <v>25</v>
      </c>
      <c r="E25" s="18" t="n">
        <f aca="false">Yearly_Inputs!$D$6</f>
        <v>10</v>
      </c>
      <c r="F25" s="18" t="n">
        <f aca="false">Yearly_Inputs!$E$6</f>
        <v>10</v>
      </c>
      <c r="G25" s="18" t="n">
        <f aca="false">Yearly_Inputs!$F$6</f>
        <v>10</v>
      </c>
    </row>
    <row r="26" customFormat="false" ht="15" hidden="false" customHeight="false" outlineLevel="0" collapsed="false">
      <c r="A26" s="14" t="s">
        <v>465</v>
      </c>
      <c r="B26" s="43" t="s">
        <v>70</v>
      </c>
      <c r="C26" s="53" t="n">
        <f aca="false">C25*Assumptions!$B$23</f>
        <v>300000</v>
      </c>
      <c r="D26" s="53" t="n">
        <f aca="false">D25*Assumptions!$B$23</f>
        <v>500000</v>
      </c>
      <c r="E26" s="53" t="n">
        <f aca="false">E25*Assumptions!$B$23</f>
        <v>200000</v>
      </c>
      <c r="F26" s="53" t="n">
        <f aca="false">F25*Assumptions!$B$23</f>
        <v>200000</v>
      </c>
      <c r="G26" s="53" t="n">
        <f aca="false">G25*Assumptions!$B$23</f>
        <v>200000</v>
      </c>
    </row>
    <row r="27" customFormat="false" ht="15" hidden="false" customHeight="false" outlineLevel="0" collapsed="false">
      <c r="A27" s="14" t="s">
        <v>466</v>
      </c>
      <c r="B27" s="43" t="s">
        <v>70</v>
      </c>
      <c r="C27" s="53" t="n">
        <f aca="false">C26*C11</f>
        <v>150000</v>
      </c>
      <c r="D27" s="53" t="n">
        <f aca="false">C26*D11+D26*C11</f>
        <v>503113.644710828</v>
      </c>
      <c r="E27" s="53" t="n">
        <f aca="false">C26*E11+D26*D11+E26*C11</f>
        <v>678149.395556737</v>
      </c>
      <c r="F27" s="53" t="n">
        <f aca="false">C26*F11+D26*E11+E26*D11+F26*C11</f>
        <v>582410.974532895</v>
      </c>
      <c r="G27" s="53" t="n">
        <f aca="false">C26*G11+D26*F11+E26*E11+F26*D11+G26*C11</f>
        <v>461570.771046113</v>
      </c>
    </row>
    <row r="28" customFormat="false" ht="15" hidden="false" customHeight="false" outlineLevel="0" collapsed="false">
      <c r="A28" s="14" t="s">
        <v>476</v>
      </c>
      <c r="B28" s="43" t="s">
        <v>477</v>
      </c>
      <c r="C28" s="74" t="n">
        <f aca="false">C25*C12</f>
        <v>7.5</v>
      </c>
      <c r="D28" s="74" t="n">
        <f aca="false">C25*D12+D25*C12</f>
        <v>27.5</v>
      </c>
      <c r="E28" s="74" t="n">
        <f aca="false">C25*E12+D25*D12+E25*C12</f>
        <v>45</v>
      </c>
      <c r="F28" s="74" t="n">
        <f aca="false">C25*F12+D25*E12+E25*D12+F25*C12</f>
        <v>47.5</v>
      </c>
      <c r="G28" s="74" t="n">
        <f aca="false">C25*G12+D25*F12+E25*E12+F25*D12+G25*C12</f>
        <v>37.5</v>
      </c>
    </row>
    <row r="29" customFormat="false" ht="15" hidden="false" customHeight="false" outlineLevel="0" collapsed="false">
      <c r="A29" s="14" t="s">
        <v>478</v>
      </c>
      <c r="B29" s="43" t="s">
        <v>70</v>
      </c>
      <c r="C29" s="53" t="n">
        <f aca="false">PMT(Assumptions!$B$26/12,Assumptions!$B$27*12,-Assumptions!$B$23)*12</f>
        <v>7355.76069036235</v>
      </c>
      <c r="D29" s="53" t="n">
        <f aca="false">PMT(Assumptions!$B$26/12,Assumptions!$B$27*12,-Assumptions!$B$23)*12</f>
        <v>7355.76069036235</v>
      </c>
      <c r="E29" s="53" t="n">
        <f aca="false">PMT(Assumptions!$B$26/12,Assumptions!$B$27*12,-Assumptions!$B$23)*12</f>
        <v>7355.76069036235</v>
      </c>
      <c r="F29" s="53" t="n">
        <f aca="false">PMT(Assumptions!$B$26/12,Assumptions!$B$27*12,-Assumptions!$B$23)*12</f>
        <v>7355.76069036235</v>
      </c>
      <c r="G29" s="53" t="n">
        <f aca="false">PMT(Assumptions!$B$26/12,Assumptions!$B$27*12,-Assumptions!$B$23)*12</f>
        <v>7355.76069036235</v>
      </c>
    </row>
    <row r="30" customFormat="false" ht="15" hidden="false" customHeight="false" outlineLevel="0" collapsed="false">
      <c r="A30" s="14" t="s">
        <v>469</v>
      </c>
      <c r="B30" s="43" t="s">
        <v>70</v>
      </c>
      <c r="C30" s="53" t="n">
        <f aca="false">C28*C29</f>
        <v>55168.2051777176</v>
      </c>
      <c r="D30" s="53" t="n">
        <f aca="false">D28*D29</f>
        <v>202283.418984965</v>
      </c>
      <c r="E30" s="53" t="n">
        <f aca="false">E28*E29</f>
        <v>331009.231066306</v>
      </c>
      <c r="F30" s="53" t="n">
        <f aca="false">F28*F29</f>
        <v>349398.632792212</v>
      </c>
      <c r="G30" s="53" t="n">
        <f aca="false">G28*G29</f>
        <v>275841.025888588</v>
      </c>
    </row>
    <row r="31" customFormat="false" ht="15" hidden="false" customHeight="false" outlineLevel="0" collapsed="false">
      <c r="A31" s="14" t="s">
        <v>479</v>
      </c>
      <c r="B31" s="43" t="s">
        <v>70</v>
      </c>
      <c r="C31" s="53" t="n">
        <f aca="false">C56*12-C29</f>
        <v>2244.23930963765</v>
      </c>
      <c r="D31" s="53" t="n">
        <f aca="false">D56*12-D29</f>
        <v>2244.23930963765</v>
      </c>
      <c r="E31" s="53" t="n">
        <f aca="false">E56*12-E29</f>
        <v>2244.23930963765</v>
      </c>
      <c r="F31" s="53" t="n">
        <f aca="false">F56*12-F29</f>
        <v>2244.23930963765</v>
      </c>
      <c r="G31" s="53" t="n">
        <f aca="false">G56*12-G29</f>
        <v>2244.23930963765</v>
      </c>
    </row>
    <row r="32" customFormat="false" ht="15" hidden="false" customHeight="false" outlineLevel="0" collapsed="false">
      <c r="A32" s="14" t="s">
        <v>480</v>
      </c>
      <c r="B32" s="43" t="s">
        <v>70</v>
      </c>
      <c r="C32" s="53" t="n">
        <f aca="false">C28*Assumptions!$B$24*12*(1-Assumptions!$B$25)</f>
        <v>18000</v>
      </c>
      <c r="D32" s="53" t="n">
        <f aca="false">D28*Assumptions!$B$24*12*(1-Assumptions!$B$25)</f>
        <v>66000</v>
      </c>
      <c r="E32" s="53" t="n">
        <f aca="false">E28*Assumptions!$B$24*12*(1-Assumptions!$B$25)</f>
        <v>108000</v>
      </c>
      <c r="F32" s="53" t="n">
        <f aca="false">F28*Assumptions!$B$24*12*(1-Assumptions!$B$25)</f>
        <v>114000</v>
      </c>
      <c r="G32" s="53" t="n">
        <f aca="false">G28*Assumptions!$B$24*12*(1-Assumptions!$B$25)</f>
        <v>90000</v>
      </c>
    </row>
    <row r="33" customFormat="false" ht="15" hidden="false" customHeight="false" outlineLevel="0" collapsed="false">
      <c r="A33" s="14" t="s">
        <v>481</v>
      </c>
      <c r="B33" s="43" t="s">
        <v>472</v>
      </c>
      <c r="C33" s="53" t="n">
        <f aca="false">C28*Assumptions!$B$24*12/Assumptions!$B$11/1000</f>
        <v>198.237885462555</v>
      </c>
      <c r="D33" s="53" t="n">
        <f aca="false">D28*Assumptions!$B$24*12/Assumptions!$B$11/1000</f>
        <v>726.872246696035</v>
      </c>
      <c r="E33" s="53" t="n">
        <f aca="false">E28*Assumptions!$B$24*12/Assumptions!$B$11/1000</f>
        <v>1189.42731277533</v>
      </c>
      <c r="F33" s="53" t="n">
        <f aca="false">F28*Assumptions!$B$24*12/Assumptions!$B$11/1000</f>
        <v>1255.50660792952</v>
      </c>
      <c r="G33" s="53" t="n">
        <f aca="false">G28*Assumptions!$B$24*12/Assumptions!$B$11/1000</f>
        <v>991.189427312775</v>
      </c>
    </row>
    <row r="34" customFormat="false" ht="15" hidden="false" customHeight="false" outlineLevel="0" collapsed="false">
      <c r="A34" s="14" t="s">
        <v>482</v>
      </c>
      <c r="B34" s="43" t="s">
        <v>474</v>
      </c>
      <c r="C34" s="53" t="n">
        <f aca="false">C33*Assumptions!$B$12</f>
        <v>146.696035242291</v>
      </c>
      <c r="D34" s="53" t="n">
        <f aca="false">D33*Assumptions!$B$12</f>
        <v>537.885462555066</v>
      </c>
      <c r="E34" s="53" t="n">
        <f aca="false">E33*Assumptions!$B$12</f>
        <v>880.176211453745</v>
      </c>
      <c r="F34" s="53" t="n">
        <f aca="false">F33*Assumptions!$B$12</f>
        <v>929.074889867841</v>
      </c>
      <c r="G34" s="53" t="n">
        <f aca="false">G33*Assumptions!$B$12</f>
        <v>733.480176211454</v>
      </c>
    </row>
    <row r="35" customFormat="false" ht="15" hidden="false" customHeight="false" outlineLevel="0" collapsed="false">
      <c r="A35" s="40" t="s">
        <v>483</v>
      </c>
      <c r="B35" s="41"/>
      <c r="C35" s="41"/>
      <c r="D35" s="41"/>
      <c r="E35" s="41"/>
      <c r="F35" s="41"/>
      <c r="G35" s="41"/>
    </row>
    <row r="36" customFormat="false" ht="15" hidden="false" customHeight="false" outlineLevel="0" collapsed="false">
      <c r="A36" s="14" t="s">
        <v>484</v>
      </c>
      <c r="B36" s="43" t="s">
        <v>334</v>
      </c>
      <c r="C36" s="18" t="n">
        <f aca="false">Yearly_Inputs!$B$7</f>
        <v>1</v>
      </c>
      <c r="D36" s="18" t="n">
        <f aca="false">Yearly_Inputs!$C$7</f>
        <v>2</v>
      </c>
      <c r="E36" s="18" t="n">
        <f aca="false">Yearly_Inputs!$D$7</f>
        <v>2</v>
      </c>
      <c r="F36" s="18" t="n">
        <f aca="false">Yearly_Inputs!$E$7</f>
        <v>2</v>
      </c>
      <c r="G36" s="18" t="n">
        <f aca="false">Yearly_Inputs!$F$7</f>
        <v>2</v>
      </c>
    </row>
    <row r="37" customFormat="false" ht="15" hidden="false" customHeight="false" outlineLevel="0" collapsed="false">
      <c r="A37" s="14" t="s">
        <v>485</v>
      </c>
      <c r="B37" s="43" t="s">
        <v>70</v>
      </c>
      <c r="C37" s="53" t="n">
        <f aca="false">C36*EV_Pilot!$B$46*Assumptions!$B$31</f>
        <v>22500</v>
      </c>
      <c r="D37" s="53" t="n">
        <f aca="false">D36*EV_Pilot!$B$46*Assumptions!$B$31</f>
        <v>45000</v>
      </c>
      <c r="E37" s="53" t="n">
        <f aca="false">E36*EV_Pilot!$B$46*Assumptions!$B$31</f>
        <v>45000</v>
      </c>
      <c r="F37" s="53" t="n">
        <f aca="false">F36*EV_Pilot!$B$46*Assumptions!$B$31</f>
        <v>45000</v>
      </c>
      <c r="G37" s="53" t="n">
        <f aca="false">G36*EV_Pilot!$B$46*Assumptions!$B$31</f>
        <v>45000</v>
      </c>
    </row>
    <row r="38" customFormat="false" ht="15" hidden="false" customHeight="false" outlineLevel="0" collapsed="false">
      <c r="A38" s="14" t="s">
        <v>466</v>
      </c>
      <c r="B38" s="43" t="s">
        <v>70</v>
      </c>
      <c r="C38" s="53" t="n">
        <f aca="false">C37*C13</f>
        <v>10848.2142857143</v>
      </c>
      <c r="D38" s="53" t="n">
        <f aca="false">C37*D13+D37*C13</f>
        <v>40982.1428571429</v>
      </c>
      <c r="E38" s="53" t="n">
        <f aca="false">C37*E13+D37*D13+E37*C13</f>
        <v>76339.2857142857</v>
      </c>
      <c r="F38" s="53" t="n">
        <f aca="false">C37*F13+D37*E13+E37*D13+F37*C13</f>
        <v>105267.857142857</v>
      </c>
      <c r="G38" s="53" t="n">
        <f aca="false">C37*G13+D37*F13+E37*E13+F37*D13+G37*C13</f>
        <v>127767.857142857</v>
      </c>
    </row>
    <row r="39" customFormat="false" ht="15" hidden="false" customHeight="false" outlineLevel="0" collapsed="false">
      <c r="A39" s="14" t="s">
        <v>486</v>
      </c>
      <c r="B39" s="43" t="s">
        <v>487</v>
      </c>
      <c r="C39" s="74" t="n">
        <f aca="false">C36*C9</f>
        <v>0.5</v>
      </c>
      <c r="D39" s="74" t="n">
        <f aca="false">C36*D9+D36*C9</f>
        <v>2</v>
      </c>
      <c r="E39" s="74" t="n">
        <f aca="false">C36*E9+D36*D9+E36*C9</f>
        <v>4</v>
      </c>
      <c r="F39" s="74" t="n">
        <f aca="false">C36*F9+D36*E9+E36*D9+F36*C9</f>
        <v>6</v>
      </c>
      <c r="G39" s="74" t="n">
        <f aca="false">C36*G9+D36*F9+E36*E9+F36*D9+G36*C9</f>
        <v>8</v>
      </c>
    </row>
    <row r="40" customFormat="false" ht="15" hidden="false" customHeight="false" outlineLevel="0" collapsed="false">
      <c r="A40" s="14" t="s">
        <v>488</v>
      </c>
      <c r="B40" s="43" t="s">
        <v>70</v>
      </c>
      <c r="C40" s="18" t="n">
        <f aca="false">EV_Pilot!$B$50</f>
        <v>8979.74</v>
      </c>
      <c r="D40" s="18" t="n">
        <f aca="false">EV_Pilot!$B$50</f>
        <v>8979.74</v>
      </c>
      <c r="E40" s="18" t="n">
        <f aca="false">EV_Pilot!$B$50</f>
        <v>8979.74</v>
      </c>
      <c r="F40" s="18" t="n">
        <f aca="false">EV_Pilot!$B$50</f>
        <v>8979.74</v>
      </c>
      <c r="G40" s="18" t="n">
        <f aca="false">EV_Pilot!$B$50</f>
        <v>8979.74</v>
      </c>
    </row>
    <row r="41" customFormat="false" ht="15" hidden="false" customHeight="false" outlineLevel="0" collapsed="false">
      <c r="A41" s="14" t="s">
        <v>489</v>
      </c>
      <c r="B41" s="43" t="s">
        <v>70</v>
      </c>
      <c r="C41" s="53" t="n">
        <f aca="false">C39*EV_Pilot!$B$54</f>
        <v>2244.935</v>
      </c>
      <c r="D41" s="53" t="n">
        <f aca="false">D39*EV_Pilot!$B$54</f>
        <v>8979.74</v>
      </c>
      <c r="E41" s="53" t="n">
        <f aca="false">E39*EV_Pilot!$B$54</f>
        <v>17959.48</v>
      </c>
      <c r="F41" s="53" t="n">
        <f aca="false">F39*EV_Pilot!$B$54</f>
        <v>26939.22</v>
      </c>
      <c r="G41" s="53" t="n">
        <f aca="false">G39*EV_Pilot!$B$54</f>
        <v>35918.96</v>
      </c>
    </row>
    <row r="42" customFormat="false" ht="15" hidden="false" customHeight="false" outlineLevel="0" collapsed="false">
      <c r="A42" s="14" t="s">
        <v>490</v>
      </c>
      <c r="B42" s="43" t="s">
        <v>70</v>
      </c>
      <c r="C42" s="53" t="n">
        <f aca="false">C68*EV_Pilot!$B$56+C69*EV_Pilot!$B$57+C39*EV_Pilot!$B$65</f>
        <v>2020.4415</v>
      </c>
      <c r="D42" s="53" t="n">
        <f aca="false">D68*EV_Pilot!$B$56+D69*EV_Pilot!$B$57+D39*EV_Pilot!$B$65</f>
        <v>8081.766</v>
      </c>
      <c r="E42" s="53" t="n">
        <f aca="false">E68*EV_Pilot!$B$56+E69*EV_Pilot!$B$57+E39*EV_Pilot!$B$65</f>
        <v>16163.532</v>
      </c>
      <c r="F42" s="53" t="n">
        <f aca="false">F68*EV_Pilot!$B$56+F69*EV_Pilot!$B$57+F39*EV_Pilot!$B$65</f>
        <v>24245.298</v>
      </c>
      <c r="G42" s="53" t="n">
        <f aca="false">G68*EV_Pilot!$B$56+G69*EV_Pilot!$B$57+G39*EV_Pilot!$B$65</f>
        <v>32327.064</v>
      </c>
    </row>
    <row r="43" customFormat="false" ht="15" hidden="false" customHeight="false" outlineLevel="0" collapsed="false">
      <c r="A43" s="14" t="s">
        <v>491</v>
      </c>
      <c r="B43" s="43" t="s">
        <v>70</v>
      </c>
      <c r="C43" s="53" t="n">
        <f aca="false">C37*C14</f>
        <v>1607.14285714286</v>
      </c>
      <c r="D43" s="53" t="n">
        <f aca="false">C37*D14+D37*C14</f>
        <v>6428.57142857143</v>
      </c>
      <c r="E43" s="53" t="n">
        <f aca="false">C37*E14+D37*D14+E37*C14</f>
        <v>12857.1428571429</v>
      </c>
      <c r="F43" s="53" t="n">
        <f aca="false">C37*F14+D37*E14+E37*D14+F37*C14</f>
        <v>19285.7142857143</v>
      </c>
      <c r="G43" s="53" t="n">
        <f aca="false">C37*G14+D37*F14+E37*E14+F37*D14+G37*C14</f>
        <v>25714.2857142857</v>
      </c>
    </row>
    <row r="44" customFormat="false" ht="15" hidden="false" customHeight="false" outlineLevel="0" collapsed="false">
      <c r="A44" s="40" t="s">
        <v>492</v>
      </c>
      <c r="B44" s="41"/>
      <c r="C44" s="41"/>
      <c r="D44" s="41"/>
      <c r="E44" s="41"/>
      <c r="F44" s="41"/>
      <c r="G44" s="41"/>
    </row>
    <row r="45" customFormat="false" ht="15" hidden="false" customHeight="false" outlineLevel="0" collapsed="false">
      <c r="A45" s="22" t="s">
        <v>465</v>
      </c>
      <c r="B45" s="43" t="s">
        <v>70</v>
      </c>
      <c r="C45" s="75" t="n">
        <f aca="false">C17+C26+C37</f>
        <v>3202500</v>
      </c>
      <c r="D45" s="75" t="n">
        <f aca="false">D17+D26+D37</f>
        <v>3425000</v>
      </c>
      <c r="E45" s="75" t="n">
        <f aca="false">E17+E26+E37</f>
        <v>4085000</v>
      </c>
      <c r="F45" s="75" t="n">
        <f aca="false">F17+F26+F37</f>
        <v>5045000</v>
      </c>
      <c r="G45" s="75" t="n">
        <f aca="false">G17+G26+G37</f>
        <v>5045000</v>
      </c>
    </row>
    <row r="46" customFormat="false" ht="15" hidden="false" customHeight="false" outlineLevel="0" collapsed="false">
      <c r="A46" s="22" t="s">
        <v>466</v>
      </c>
      <c r="B46" s="43" t="s">
        <v>70</v>
      </c>
      <c r="C46" s="75" t="n">
        <f aca="false">C18+C27+C38</f>
        <v>1600848.21428571</v>
      </c>
      <c r="D46" s="75" t="n">
        <f aca="false">D18+D27+D38</f>
        <v>4603492.07826327</v>
      </c>
      <c r="E46" s="75" t="n">
        <f aca="false">E18+E27+E38</f>
        <v>7379043.65858696</v>
      </c>
      <c r="F46" s="75" t="n">
        <f aca="false">F18+F27+F38</f>
        <v>10189575.1082324</v>
      </c>
      <c r="G46" s="75" t="n">
        <f aca="false">G18+G27+G38</f>
        <v>12594632.1410342</v>
      </c>
    </row>
    <row r="47" customFormat="false" ht="15" hidden="false" customHeight="false" outlineLevel="0" collapsed="false">
      <c r="A47" s="22" t="s">
        <v>469</v>
      </c>
      <c r="B47" s="43" t="s">
        <v>70</v>
      </c>
      <c r="C47" s="75" t="n">
        <f aca="false">C20+C30+C42</f>
        <v>389792.355982424</v>
      </c>
      <c r="D47" s="75" t="n">
        <f aca="false">D20+D30+D42</f>
        <v>1208176.31289908</v>
      </c>
      <c r="E47" s="75" t="n">
        <f aca="false">E20+E30+E42</f>
        <v>2121059.21269141</v>
      </c>
      <c r="F47" s="75" t="n">
        <f aca="false">F20+F30+F42</f>
        <v>3145341.50833143</v>
      </c>
      <c r="G47" s="75" t="n">
        <f aca="false">G20+G30+G42</f>
        <v>4188544.69844349</v>
      </c>
    </row>
    <row r="48" customFormat="false" ht="15" hidden="false" customHeight="false" outlineLevel="0" collapsed="false">
      <c r="A48" s="14" t="s">
        <v>493</v>
      </c>
      <c r="B48" s="43" t="s">
        <v>70</v>
      </c>
      <c r="C48" s="53" t="n">
        <f aca="false">C47*Assumptions!$B$8*(1+Assumptions!$B$9)</f>
        <v>128631.4774742</v>
      </c>
      <c r="D48" s="53" t="n">
        <f aca="false">D47*Assumptions!$B$8*(1+Assumptions!$B$9)</f>
        <v>398698.183256697</v>
      </c>
      <c r="E48" s="53" t="n">
        <f aca="false">E47*Assumptions!$B$8*(1+Assumptions!$B$9)</f>
        <v>699949.540188164</v>
      </c>
      <c r="F48" s="53" t="n">
        <f aca="false">F47*Assumptions!$B$8*(1+Assumptions!$B$9)</f>
        <v>1037962.69774937</v>
      </c>
      <c r="G48" s="53" t="n">
        <f aca="false">G47*Assumptions!$B$8*(1+Assumptions!$B$9)</f>
        <v>1382219.75048635</v>
      </c>
    </row>
    <row r="49" customFormat="false" ht="15" hidden="false" customHeight="false" outlineLevel="0" collapsed="false">
      <c r="A49" s="14" t="s">
        <v>494</v>
      </c>
      <c r="B49" s="43" t="s">
        <v>495</v>
      </c>
      <c r="C49" s="53" t="n">
        <f aca="false">C45/Assumptions!$B$7</f>
        <v>6405</v>
      </c>
      <c r="D49" s="53" t="n">
        <f aca="false">D45/Assumptions!$B$7</f>
        <v>6850</v>
      </c>
      <c r="E49" s="53" t="n">
        <f aca="false">E45/Assumptions!$B$7</f>
        <v>8170</v>
      </c>
      <c r="F49" s="53" t="n">
        <f aca="false">F45/Assumptions!$B$7</f>
        <v>10090</v>
      </c>
      <c r="G49" s="53" t="n">
        <f aca="false">G45/Assumptions!$B$7</f>
        <v>10090</v>
      </c>
    </row>
    <row r="50" customFormat="false" ht="15" hidden="false" customHeight="false" outlineLevel="0" collapsed="false">
      <c r="A50" s="22" t="s">
        <v>496</v>
      </c>
      <c r="B50" s="43" t="s">
        <v>70</v>
      </c>
      <c r="C50" s="76" t="n">
        <f aca="false">C18*Assumptions!$B$19+C27*Assumptions!$B$26-C59+C42-C43</f>
        <v>82163.2986428572</v>
      </c>
      <c r="D50" s="76" t="n">
        <f aca="false">D18*Assumptions!$B$19+D27*Assumptions!$B$26-D59+D42-D43</f>
        <v>237325.396012397</v>
      </c>
      <c r="E50" s="76" t="n">
        <f aca="false">E18*Assumptions!$B$19+E27*Assumptions!$B$26-E59+E42-E43</f>
        <v>378613.848719842</v>
      </c>
      <c r="F50" s="76" t="n">
        <f aca="false">F18*Assumptions!$B$19+F27*Assumptions!$B$26-F59+F42-F43</f>
        <v>517911.110886756</v>
      </c>
      <c r="G50" s="76" t="n">
        <f aca="false">G18*Assumptions!$B$19+G27*Assumptions!$B$26-G59+G42-G43</f>
        <v>636879.554045974</v>
      </c>
    </row>
    <row r="51" customFormat="false" ht="15" hidden="false" customHeight="false" outlineLevel="0" collapsed="false">
      <c r="A51" s="22" t="s">
        <v>497</v>
      </c>
      <c r="B51" s="43" t="s">
        <v>474</v>
      </c>
      <c r="C51" s="76" t="n">
        <f aca="false">C23+C34</f>
        <v>1534.19603524229</v>
      </c>
      <c r="D51" s="76" t="n">
        <f aca="false">D23+D34</f>
        <v>4700.38546255507</v>
      </c>
      <c r="E51" s="76" t="n">
        <f aca="false">E23+E34</f>
        <v>8280.17621145375</v>
      </c>
      <c r="F51" s="76" t="n">
        <f aca="false">F23+F34</f>
        <v>12491.5748898678</v>
      </c>
      <c r="G51" s="76" t="n">
        <f aca="false">G23+G34</f>
        <v>16920.9801762115</v>
      </c>
    </row>
    <row r="53" customFormat="false" ht="15" hidden="false" customHeight="false" outlineLevel="0" collapsed="false">
      <c r="A53" s="10" t="s">
        <v>498</v>
      </c>
    </row>
    <row r="55" customFormat="false" ht="15" hidden="false" customHeight="false" outlineLevel="0" collapsed="false">
      <c r="A55" s="57" t="s">
        <v>499</v>
      </c>
      <c r="B55" s="58"/>
      <c r="C55" s="58"/>
      <c r="D55" s="58"/>
      <c r="E55" s="58"/>
      <c r="F55" s="58"/>
      <c r="G55" s="58"/>
    </row>
    <row r="56" customFormat="false" ht="15" hidden="false" customHeight="false" outlineLevel="0" collapsed="false">
      <c r="A56" s="77" t="s">
        <v>500</v>
      </c>
      <c r="B56" s="43" t="s">
        <v>70</v>
      </c>
      <c r="C56" s="53" t="n">
        <f aca="false">MAX(Assumptions!$B$24,Assumptions!$B$72)*Assumptions!$B$25</f>
        <v>800</v>
      </c>
      <c r="D56" s="53" t="n">
        <f aca="false">MAX(Assumptions!$B$24,Assumptions!$B$72)*Assumptions!$B$25</f>
        <v>800</v>
      </c>
      <c r="E56" s="53" t="n">
        <f aca="false">MAX(Assumptions!$B$24,Assumptions!$B$72)*Assumptions!$B$25</f>
        <v>800</v>
      </c>
      <c r="F56" s="53" t="n">
        <f aca="false">MAX(Assumptions!$B$24,Assumptions!$B$72)*Assumptions!$B$25</f>
        <v>800</v>
      </c>
      <c r="G56" s="53" t="n">
        <f aca="false">MAX(Assumptions!$B$24,Assumptions!$B$72)*Assumptions!$B$25</f>
        <v>800</v>
      </c>
    </row>
    <row r="57" customFormat="false" ht="15" hidden="false" customHeight="false" outlineLevel="0" collapsed="false">
      <c r="A57" s="77" t="s">
        <v>501</v>
      </c>
      <c r="B57" s="43" t="s">
        <v>70</v>
      </c>
      <c r="C57" s="53" t="n">
        <f aca="false">Assumptions!$B$23*Assumptions!$B$73*Assumptions!$B$74</f>
        <v>200</v>
      </c>
      <c r="D57" s="53" t="n">
        <f aca="false">Assumptions!$B$23*Assumptions!$B$73*Assumptions!$B$74</f>
        <v>200</v>
      </c>
      <c r="E57" s="53" t="n">
        <f aca="false">Assumptions!$B$23*Assumptions!$B$73*Assumptions!$B$74</f>
        <v>200</v>
      </c>
      <c r="F57" s="53" t="n">
        <f aca="false">Assumptions!$B$23*Assumptions!$B$73*Assumptions!$B$74</f>
        <v>200</v>
      </c>
      <c r="G57" s="53" t="n">
        <f aca="false">Assumptions!$B$23*Assumptions!$B$73*Assumptions!$B$74</f>
        <v>200</v>
      </c>
    </row>
    <row r="58" customFormat="false" ht="15" hidden="false" customHeight="false" outlineLevel="0" collapsed="false">
      <c r="A58" s="77" t="s">
        <v>502</v>
      </c>
      <c r="B58" s="43" t="s">
        <v>70</v>
      </c>
      <c r="C58" s="53" t="n">
        <f aca="false">MAX(0,C31)*(1-Assumptions!$B$28)</f>
        <v>1122.11965481883</v>
      </c>
      <c r="D58" s="53" t="n">
        <f aca="false">MAX(0,D31)*(1-Assumptions!$B$28)</f>
        <v>1122.11965481883</v>
      </c>
      <c r="E58" s="53" t="n">
        <f aca="false">MAX(0,E31)*(1-Assumptions!$B$28)</f>
        <v>1122.11965481883</v>
      </c>
      <c r="F58" s="53" t="n">
        <f aca="false">MAX(0,F31)*(1-Assumptions!$B$28)</f>
        <v>1122.11965481883</v>
      </c>
      <c r="G58" s="53" t="n">
        <f aca="false">MAX(0,G31)*(1-Assumptions!$B$28)</f>
        <v>1122.11965481883</v>
      </c>
    </row>
    <row r="59" customFormat="false" ht="15" hidden="false" customHeight="false" outlineLevel="0" collapsed="false">
      <c r="A59" s="77" t="s">
        <v>503</v>
      </c>
      <c r="B59" s="43" t="s">
        <v>70</v>
      </c>
      <c r="C59" s="53" t="n">
        <f aca="false">C28*(MAX(0,C57-C58)+MAX(0,-C31))</f>
        <v>0</v>
      </c>
      <c r="D59" s="53" t="n">
        <f aca="false">D28*(MAX(0,D57-D58)+MAX(0,-D31))</f>
        <v>0</v>
      </c>
      <c r="E59" s="53" t="n">
        <f aca="false">E28*(MAX(0,E57-E58)+MAX(0,-E31))</f>
        <v>0</v>
      </c>
      <c r="F59" s="53" t="n">
        <f aca="false">F28*(MAX(0,F57-F58)+MAX(0,-F31))</f>
        <v>0</v>
      </c>
      <c r="G59" s="53" t="n">
        <f aca="false">G28*(MAX(0,G57-G58)+MAX(0,-G31))</f>
        <v>0</v>
      </c>
    </row>
    <row r="60" customFormat="false" ht="15" hidden="false" customHeight="false" outlineLevel="0" collapsed="false">
      <c r="A60" s="77" t="s">
        <v>504</v>
      </c>
      <c r="B60" s="43" t="s">
        <v>505</v>
      </c>
      <c r="C60" s="69" t="n">
        <f aca="false">EV_Pilot!$B$9</f>
        <v>60</v>
      </c>
      <c r="D60" s="69" t="n">
        <f aca="false">EV_Pilot!$B$9</f>
        <v>60</v>
      </c>
      <c r="E60" s="69" t="n">
        <f aca="false">EV_Pilot!$B$9</f>
        <v>60</v>
      </c>
      <c r="F60" s="69" t="n">
        <f aca="false">EV_Pilot!$B$9</f>
        <v>60</v>
      </c>
      <c r="G60" s="69" t="n">
        <f aca="false">EV_Pilot!$B$9</f>
        <v>60</v>
      </c>
    </row>
    <row r="61" customFormat="false" ht="15" hidden="false" customHeight="false" outlineLevel="0" collapsed="false">
      <c r="A61" s="77" t="s">
        <v>506</v>
      </c>
      <c r="B61" s="43" t="s">
        <v>70</v>
      </c>
      <c r="C61" s="18" t="n">
        <f aca="false">EV_Pilot!$B$65</f>
        <v>0</v>
      </c>
      <c r="D61" s="18" t="n">
        <f aca="false">EV_Pilot!$B$65</f>
        <v>0</v>
      </c>
      <c r="E61" s="18" t="n">
        <f aca="false">EV_Pilot!$B$65</f>
        <v>0</v>
      </c>
      <c r="F61" s="18" t="n">
        <f aca="false">EV_Pilot!$B$65</f>
        <v>0</v>
      </c>
      <c r="G61" s="18" t="n">
        <f aca="false">EV_Pilot!$B$65</f>
        <v>0</v>
      </c>
    </row>
    <row r="62" customFormat="false" ht="15" hidden="false" customHeight="false" outlineLevel="0" collapsed="false">
      <c r="A62" s="77" t="s">
        <v>507</v>
      </c>
      <c r="B62" s="43" t="s">
        <v>70</v>
      </c>
      <c r="C62" s="53" t="n">
        <f aca="false">C39*C61</f>
        <v>0</v>
      </c>
      <c r="D62" s="53" t="n">
        <f aca="false">D39*D61</f>
        <v>0</v>
      </c>
      <c r="E62" s="53" t="n">
        <f aca="false">E39*E61</f>
        <v>0</v>
      </c>
      <c r="F62" s="53" t="n">
        <f aca="false">F39*F61</f>
        <v>0</v>
      </c>
      <c r="G62" s="53" t="n">
        <f aca="false">G39*G61</f>
        <v>0</v>
      </c>
    </row>
    <row r="63" customFormat="false" ht="15" hidden="false" customHeight="false" outlineLevel="0" collapsed="false">
      <c r="A63" s="77" t="s">
        <v>508</v>
      </c>
      <c r="B63" s="43" t="s">
        <v>472</v>
      </c>
      <c r="C63" s="53" t="n">
        <f aca="false">C22*Assumptions!$B$18</f>
        <v>562.5</v>
      </c>
      <c r="D63" s="53" t="n">
        <f aca="false">D22*Assumptions!$B$18</f>
        <v>1687.5</v>
      </c>
      <c r="E63" s="53" t="n">
        <f aca="false">E22*Assumptions!$B$18</f>
        <v>3000</v>
      </c>
      <c r="F63" s="53" t="n">
        <f aca="false">F22*Assumptions!$B$18</f>
        <v>4687.5</v>
      </c>
      <c r="G63" s="53" t="n">
        <f aca="false">G22*Assumptions!$B$18</f>
        <v>6562.5</v>
      </c>
    </row>
    <row r="65" customFormat="false" ht="15" hidden="false" customHeight="false" outlineLevel="0" collapsed="false">
      <c r="A65" s="57" t="s">
        <v>509</v>
      </c>
      <c r="B65" s="58"/>
      <c r="C65" s="58"/>
      <c r="D65" s="58"/>
      <c r="E65" s="58"/>
      <c r="F65" s="58"/>
      <c r="G65" s="58"/>
    </row>
    <row r="66" customFormat="false" ht="15" hidden="false" customHeight="false" outlineLevel="0" collapsed="false">
      <c r="A66" s="77" t="s">
        <v>510</v>
      </c>
      <c r="B66" s="43"/>
      <c r="C66" s="73" t="n">
        <f aca="false">C9*IF(C6-0.5&lt;EV_Pilot!$B$73,1,0)</f>
        <v>0.5</v>
      </c>
      <c r="D66" s="73" t="n">
        <f aca="false">D9*IF(D6-0.5&lt;EV_Pilot!$B$73,1,0)</f>
        <v>1</v>
      </c>
      <c r="E66" s="73" t="n">
        <f aca="false">E9*IF(E6-0.5&lt;EV_Pilot!$B$73,1,0)</f>
        <v>1</v>
      </c>
      <c r="F66" s="73" t="n">
        <f aca="false">F9*IF(F6-0.5&lt;EV_Pilot!$B$73,1,0)</f>
        <v>1</v>
      </c>
      <c r="G66" s="73" t="n">
        <f aca="false">G9*IF(G6-0.5&lt;EV_Pilot!$B$73,1,0)</f>
        <v>1</v>
      </c>
    </row>
    <row r="67" customFormat="false" ht="15" hidden="false" customHeight="false" outlineLevel="0" collapsed="false">
      <c r="A67" s="77" t="s">
        <v>511</v>
      </c>
      <c r="B67" s="43"/>
      <c r="C67" s="73" t="n">
        <f aca="false">C9-C66</f>
        <v>0</v>
      </c>
      <c r="D67" s="73" t="n">
        <f aca="false">D9-D66</f>
        <v>0</v>
      </c>
      <c r="E67" s="73" t="n">
        <f aca="false">E9-E66</f>
        <v>0</v>
      </c>
      <c r="F67" s="73" t="n">
        <f aca="false">F9-F66</f>
        <v>0</v>
      </c>
      <c r="G67" s="73" t="n">
        <f aca="false">G9-G66</f>
        <v>0</v>
      </c>
    </row>
    <row r="68" customFormat="false" ht="15" hidden="false" customHeight="false" outlineLevel="0" collapsed="false">
      <c r="A68" s="77" t="s">
        <v>512</v>
      </c>
      <c r="B68" s="43" t="s">
        <v>487</v>
      </c>
      <c r="C68" s="74" t="n">
        <f aca="false">C36*C66</f>
        <v>0.5</v>
      </c>
      <c r="D68" s="74" t="n">
        <f aca="false">C36*D66+D36*C66</f>
        <v>2</v>
      </c>
      <c r="E68" s="74" t="n">
        <f aca="false">C36*E66+D36*D66+E36*C66</f>
        <v>4</v>
      </c>
      <c r="F68" s="74" t="n">
        <f aca="false">C36*F66+D36*E66+E36*D66+F36*C66</f>
        <v>6</v>
      </c>
      <c r="G68" s="74" t="n">
        <f aca="false">C36*G66+D36*F66+E36*E66+F36*D66+G36*C66</f>
        <v>8</v>
      </c>
    </row>
    <row r="69" customFormat="false" ht="15" hidden="false" customHeight="false" outlineLevel="0" collapsed="false">
      <c r="A69" s="77" t="s">
        <v>513</v>
      </c>
      <c r="B69" s="43" t="s">
        <v>487</v>
      </c>
      <c r="C69" s="74" t="n">
        <f aca="false">C36*C67</f>
        <v>0</v>
      </c>
      <c r="D69" s="74" t="n">
        <f aca="false">C36*D67+D36*C67</f>
        <v>0</v>
      </c>
      <c r="E69" s="74" t="n">
        <f aca="false">C36*E67+D36*D67+E36*C67</f>
        <v>0</v>
      </c>
      <c r="F69" s="74" t="n">
        <f aca="false">C36*F67+D36*E67+E36*D67+F36*C67</f>
        <v>0</v>
      </c>
      <c r="G69" s="74" t="n">
        <f aca="false">C36*G67+D36*F67+E36*E67+F36*D67+G36*C67</f>
        <v>0</v>
      </c>
    </row>
    <row r="70" customFormat="false" ht="15" hidden="false" customHeight="false" outlineLevel="0" collapsed="false">
      <c r="A70" s="77" t="s">
        <v>514</v>
      </c>
      <c r="B70" s="43" t="s">
        <v>70</v>
      </c>
      <c r="C70" s="53" t="n">
        <f aca="false">IF(Assumptions!$B$135=1,C69,C39)*EV_Pilot!$B$58</f>
        <v>0</v>
      </c>
      <c r="D70" s="53" t="n">
        <f aca="false">IF(Assumptions!$B$135=1,D69,D39)*EV_Pilot!$B$58</f>
        <v>0</v>
      </c>
      <c r="E70" s="53" t="n">
        <f aca="false">IF(Assumptions!$B$135=1,E69,E39)*EV_Pilot!$B$58</f>
        <v>0</v>
      </c>
      <c r="F70" s="53" t="n">
        <f aca="false">IF(Assumptions!$B$135=1,F69,F39)*EV_Pilot!$B$58</f>
        <v>0</v>
      </c>
      <c r="G70" s="53" t="n">
        <f aca="false">IF(Assumptions!$B$135=1,G69,G39)*EV_Pilot!$B$58</f>
        <v>0</v>
      </c>
    </row>
    <row r="71" customFormat="false" ht="15" hidden="false" customHeight="false" outlineLevel="0" collapsed="false">
      <c r="A71" s="77" t="s">
        <v>515</v>
      </c>
      <c r="B71" s="43" t="s">
        <v>70</v>
      </c>
      <c r="C71" s="53" t="n">
        <f aca="false">C39*EV_Pilot!$B$66</f>
        <v>0</v>
      </c>
      <c r="D71" s="53" t="n">
        <f aca="false">D39*EV_Pilot!$B$66</f>
        <v>0</v>
      </c>
      <c r="E71" s="53" t="n">
        <f aca="false">E39*EV_Pilot!$B$66</f>
        <v>0</v>
      </c>
      <c r="F71" s="53" t="n">
        <f aca="false">F39*EV_Pilot!$B$66</f>
        <v>0</v>
      </c>
      <c r="G71" s="53" t="n">
        <f aca="false">G39*EV_Pilot!$B$66</f>
        <v>0</v>
      </c>
    </row>
    <row r="72" customFormat="false" ht="15" hidden="false" customHeight="false" outlineLevel="0" collapsed="false">
      <c r="A72" s="77" t="s">
        <v>516</v>
      </c>
      <c r="B72" s="43" t="s">
        <v>70</v>
      </c>
      <c r="C72" s="53" t="n">
        <f aca="false">IF(Assumptions!$B$135=1,C69,C39)*EV_Pilot!$B$59</f>
        <v>0</v>
      </c>
      <c r="D72" s="53" t="n">
        <f aca="false">IF(Assumptions!$B$135=1,D69,D39)*EV_Pilot!$B$59</f>
        <v>0</v>
      </c>
      <c r="E72" s="53" t="n">
        <f aca="false">IF(Assumptions!$B$135=1,E69,E39)*EV_Pilot!$B$59</f>
        <v>0</v>
      </c>
      <c r="F72" s="53" t="n">
        <f aca="false">IF(Assumptions!$B$135=1,F69,F39)*EV_Pilot!$B$59</f>
        <v>0</v>
      </c>
      <c r="G72" s="53" t="n">
        <f aca="false">IF(Assumptions!$B$135=1,G69,G39)*EV_Pilot!$B$59</f>
        <v>0</v>
      </c>
    </row>
    <row r="73" customFormat="false" ht="15" hidden="false" customHeight="false" outlineLevel="0" collapsed="false">
      <c r="A73" s="77" t="s">
        <v>517</v>
      </c>
      <c r="B73" s="43" t="s">
        <v>70</v>
      </c>
      <c r="C73" s="53" t="n">
        <f aca="false">C39*EV_Pilot!$B$67</f>
        <v>0</v>
      </c>
      <c r="D73" s="53" t="n">
        <f aca="false">D39*EV_Pilot!$B$67</f>
        <v>0</v>
      </c>
      <c r="E73" s="53" t="n">
        <f aca="false">E39*EV_Pilot!$B$67</f>
        <v>0</v>
      </c>
      <c r="F73" s="53" t="n">
        <f aca="false">F39*EV_Pilot!$B$67</f>
        <v>0</v>
      </c>
      <c r="G73" s="53" t="n">
        <f aca="false">G39*EV_Pilot!$B$67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3" min="2" style="0" width="15"/>
    <col collapsed="false" customWidth="true" hidden="false" outlineLevel="0" max="14" min="14" style="0" width="14"/>
  </cols>
  <sheetData>
    <row r="1" customFormat="false" ht="17.35" hidden="false" customHeight="false" outlineLevel="0" collapsed="false">
      <c r="A1" s="1" t="s">
        <v>518</v>
      </c>
    </row>
    <row r="2" customFormat="false" ht="15" hidden="false" customHeight="false" outlineLevel="0" collapsed="false">
      <c r="A2" s="2" t="s">
        <v>519</v>
      </c>
    </row>
    <row r="4" customFormat="false" ht="45" hidden="false" customHeight="true" outlineLevel="0" collapsed="false">
      <c r="A4" s="15" t="s">
        <v>447</v>
      </c>
      <c r="B4" s="16" t="s">
        <v>18</v>
      </c>
      <c r="C4" s="16" t="s">
        <v>520</v>
      </c>
      <c r="D4" s="16" t="s">
        <v>521</v>
      </c>
      <c r="E4" s="16" t="s">
        <v>522</v>
      </c>
      <c r="F4" s="16" t="s">
        <v>523</v>
      </c>
      <c r="G4" s="16" t="s">
        <v>524</v>
      </c>
      <c r="H4" s="16" t="s">
        <v>525</v>
      </c>
      <c r="I4" s="16" t="s">
        <v>526</v>
      </c>
      <c r="J4" s="16" t="s">
        <v>527</v>
      </c>
      <c r="K4" s="16" t="s">
        <v>528</v>
      </c>
      <c r="L4" s="16" t="s">
        <v>529</v>
      </c>
      <c r="M4" s="16" t="s">
        <v>530</v>
      </c>
      <c r="N4" s="16" t="s">
        <v>531</v>
      </c>
    </row>
    <row r="5" customFormat="false" ht="15" hidden="false" customHeight="false" outlineLevel="0" collapsed="false">
      <c r="A5" s="40" t="s">
        <v>532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</row>
    <row r="6" customFormat="false" ht="15" hidden="false" customHeight="false" outlineLevel="0" collapsed="false">
      <c r="A6" s="14" t="s">
        <v>533</v>
      </c>
      <c r="B6" s="74" t="n">
        <f aca="false">Assumptions!$B$105</f>
        <v>2</v>
      </c>
      <c r="C6" s="74" t="n">
        <f aca="false">Scenarios!$C$15</f>
        <v>1.5</v>
      </c>
      <c r="D6" s="74" t="n">
        <f aca="false">Assumptions!$B$105</f>
        <v>2</v>
      </c>
      <c r="E6" s="74" t="n">
        <f aca="false">Assumptions!$B$105</f>
        <v>2</v>
      </c>
      <c r="F6" s="74" t="n">
        <f aca="false">Assumptions!$B$105</f>
        <v>2</v>
      </c>
      <c r="G6" s="74" t="n">
        <f aca="false">Assumptions!$B$105</f>
        <v>2</v>
      </c>
      <c r="H6" s="74" t="n">
        <f aca="false">Assumptions!$B$105</f>
        <v>2</v>
      </c>
      <c r="I6" s="74" t="n">
        <f aca="false">Scenarios!$C$15</f>
        <v>1.5</v>
      </c>
      <c r="J6" s="74" t="n">
        <f aca="false">Assumptions!$B$105</f>
        <v>2</v>
      </c>
      <c r="K6" s="74" t="n">
        <f aca="false">Assumptions!$B$105</f>
        <v>2</v>
      </c>
      <c r="L6" s="74" t="n">
        <f aca="false">Assumptions!$B$105</f>
        <v>2</v>
      </c>
      <c r="M6" s="74" t="n">
        <f aca="false">Scenarios!$C$15</f>
        <v>1.5</v>
      </c>
      <c r="N6" s="67" t="s">
        <v>534</v>
      </c>
    </row>
    <row r="7" customFormat="false" ht="15" hidden="false" customHeight="false" outlineLevel="0" collapsed="false">
      <c r="A7" s="14" t="s">
        <v>535</v>
      </c>
      <c r="B7" s="53" t="n">
        <f aca="false">Assumptions!$B$106</f>
        <v>30</v>
      </c>
      <c r="C7" s="53" t="n">
        <f aca="false">Scenarios!$C$16</f>
        <v>20</v>
      </c>
      <c r="D7" s="53" t="n">
        <f aca="false">Assumptions!$B$106</f>
        <v>30</v>
      </c>
      <c r="E7" s="53" t="n">
        <f aca="false">Assumptions!$B$106</f>
        <v>30</v>
      </c>
      <c r="F7" s="53" t="n">
        <f aca="false">Assumptions!$B$106</f>
        <v>30</v>
      </c>
      <c r="G7" s="53" t="n">
        <f aca="false">Assumptions!$B$106</f>
        <v>30</v>
      </c>
      <c r="H7" s="53" t="n">
        <f aca="false">Assumptions!$B$106</f>
        <v>30</v>
      </c>
      <c r="I7" s="53" t="n">
        <f aca="false">Scenarios!$C$16</f>
        <v>20</v>
      </c>
      <c r="J7" s="53" t="n">
        <f aca="false">Assumptions!$B$106</f>
        <v>30</v>
      </c>
      <c r="K7" s="53" t="n">
        <f aca="false">Assumptions!$B$106</f>
        <v>30</v>
      </c>
      <c r="L7" s="53" t="n">
        <f aca="false">Assumptions!$B$106</f>
        <v>30</v>
      </c>
      <c r="M7" s="53" t="n">
        <f aca="false">Scenarios!$C$16</f>
        <v>20</v>
      </c>
      <c r="N7" s="67" t="s">
        <v>505</v>
      </c>
    </row>
    <row r="8" customFormat="false" ht="15" hidden="false" customHeight="false" outlineLevel="0" collapsed="false">
      <c r="A8" s="14" t="s">
        <v>536</v>
      </c>
      <c r="B8" s="50" t="n">
        <f aca="false">0</f>
        <v>0</v>
      </c>
      <c r="C8" s="50" t="n">
        <f aca="false">Scenarios!$C$19</f>
        <v>0.1</v>
      </c>
      <c r="D8" s="50" t="n">
        <f aca="false">0</f>
        <v>0</v>
      </c>
      <c r="E8" s="50" t="n">
        <f aca="false">0</f>
        <v>0</v>
      </c>
      <c r="F8" s="50" t="n">
        <f aca="false">Scenarios!$C$19</f>
        <v>0.1</v>
      </c>
      <c r="G8" s="50" t="n">
        <f aca="false">0</f>
        <v>0</v>
      </c>
      <c r="H8" s="50" t="n">
        <f aca="false">0</f>
        <v>0</v>
      </c>
      <c r="I8" s="50" t="n">
        <f aca="false">0</f>
        <v>0</v>
      </c>
      <c r="J8" s="50" t="n">
        <f aca="false">0</f>
        <v>0</v>
      </c>
      <c r="K8" s="50" t="n">
        <f aca="false">0</f>
        <v>0</v>
      </c>
      <c r="L8" s="50" t="n">
        <f aca="false">0</f>
        <v>0</v>
      </c>
      <c r="M8" s="50" t="n">
        <f aca="false">Scenarios!$C$19</f>
        <v>0.1</v>
      </c>
      <c r="N8" s="67" t="s">
        <v>537</v>
      </c>
    </row>
    <row r="9" customFormat="false" ht="15" hidden="false" customHeight="false" outlineLevel="0" collapsed="false">
      <c r="A9" s="22" t="s">
        <v>134</v>
      </c>
      <c r="B9" s="78" t="n">
        <f aca="false">B6*B7*(1-B8)</f>
        <v>60</v>
      </c>
      <c r="C9" s="78" t="n">
        <f aca="false">C6*C7*(1-C8)</f>
        <v>27</v>
      </c>
      <c r="D9" s="78" t="n">
        <f aca="false">D6*D7*(1-D8)</f>
        <v>60</v>
      </c>
      <c r="E9" s="78" t="n">
        <f aca="false">E6*E7*(1-E8)</f>
        <v>60</v>
      </c>
      <c r="F9" s="78" t="n">
        <f aca="false">F6*F7*(1-F8)</f>
        <v>54</v>
      </c>
      <c r="G9" s="78" t="n">
        <f aca="false">G6*G7*(1-G8)</f>
        <v>60</v>
      </c>
      <c r="H9" s="78" t="n">
        <f aca="false">H6*H7*(1-H8)</f>
        <v>60</v>
      </c>
      <c r="I9" s="78" t="n">
        <f aca="false">I6*I7*(1-I8)</f>
        <v>30</v>
      </c>
      <c r="J9" s="78" t="n">
        <f aca="false">J6*J7*(1-J8)</f>
        <v>60</v>
      </c>
      <c r="K9" s="78" t="n">
        <f aca="false">K6*K7*(1-K8)</f>
        <v>60</v>
      </c>
      <c r="L9" s="78" t="n">
        <f aca="false">L6*L7*(1-L8)</f>
        <v>60</v>
      </c>
      <c r="M9" s="78" t="n">
        <f aca="false">M6*M7*(1-M8)</f>
        <v>27</v>
      </c>
      <c r="N9" s="67" t="s">
        <v>135</v>
      </c>
    </row>
    <row r="10" customFormat="false" ht="15" hidden="false" customHeight="false" outlineLevel="0" collapsed="false">
      <c r="A10" s="14" t="s">
        <v>538</v>
      </c>
      <c r="B10" s="50" t="n">
        <f aca="false">1-0</f>
        <v>1</v>
      </c>
      <c r="C10" s="50" t="n">
        <f aca="false">1-Scenarios!$C$11</f>
        <v>0.8</v>
      </c>
      <c r="D10" s="50" t="n">
        <f aca="false">1-0</f>
        <v>1</v>
      </c>
      <c r="E10" s="50" t="n">
        <f aca="false">1-0</f>
        <v>1</v>
      </c>
      <c r="F10" s="50" t="n">
        <f aca="false">1-0</f>
        <v>1</v>
      </c>
      <c r="G10" s="50" t="n">
        <f aca="false">1-Scenarios!$C$11</f>
        <v>0.8</v>
      </c>
      <c r="H10" s="50" t="n">
        <f aca="false">1-0</f>
        <v>1</v>
      </c>
      <c r="I10" s="50" t="n">
        <f aca="false">1-0</f>
        <v>1</v>
      </c>
      <c r="J10" s="50" t="n">
        <f aca="false">1-0</f>
        <v>1</v>
      </c>
      <c r="K10" s="50" t="n">
        <f aca="false">1-0</f>
        <v>1</v>
      </c>
      <c r="L10" s="50" t="n">
        <f aca="false">1-0</f>
        <v>1</v>
      </c>
      <c r="M10" s="50" t="n">
        <f aca="false">1-Scenarios!$C$11</f>
        <v>0.8</v>
      </c>
      <c r="N10" s="67"/>
    </row>
    <row r="11" customFormat="false" ht="15" hidden="false" customHeight="false" outlineLevel="0" collapsed="false">
      <c r="A11" s="14" t="s">
        <v>539</v>
      </c>
      <c r="B11" s="79" t="n">
        <f aca="false">(Assumptions!$B$32*(1-Assumptions!$B$120)+Assumptions!$B$119*Assumptions!$B$120)*B10</f>
        <v>1.49</v>
      </c>
      <c r="C11" s="79" t="n">
        <f aca="false">(Assumptions!$B$32*(1-Assumptions!$B$120)+Assumptions!$B$119*Assumptions!$B$120)*C10</f>
        <v>1.192</v>
      </c>
      <c r="D11" s="79" t="n">
        <f aca="false">(Assumptions!$B$32*(1-Assumptions!$B$120)+Assumptions!$B$119*Assumptions!$B$120)*D10</f>
        <v>1.49</v>
      </c>
      <c r="E11" s="79" t="n">
        <f aca="false">(Assumptions!$B$32*(1-Assumptions!$B$120)+Assumptions!$B$119*Assumptions!$B$120)*E10</f>
        <v>1.49</v>
      </c>
      <c r="F11" s="79" t="n">
        <f aca="false">(Assumptions!$B$32*(1-Assumptions!$B$120)+Assumptions!$B$119*Assumptions!$B$120)*F10</f>
        <v>1.49</v>
      </c>
      <c r="G11" s="79" t="n">
        <f aca="false">(Assumptions!$B$32*(1-Assumptions!$B$120)+Assumptions!$B$119*Assumptions!$B$120)*G10</f>
        <v>1.192</v>
      </c>
      <c r="H11" s="79" t="n">
        <f aca="false">(Assumptions!$B$32*(1-Assumptions!$B$120)+Assumptions!$B$119*Assumptions!$B$120)*H10</f>
        <v>1.49</v>
      </c>
      <c r="I11" s="79" t="n">
        <f aca="false">(Assumptions!$B$32*(1-Assumptions!$B$120)+Assumptions!$B$119*Assumptions!$B$120)*I10</f>
        <v>1.49</v>
      </c>
      <c r="J11" s="79" t="n">
        <f aca="false">(Assumptions!$B$32*(1-Assumptions!$B$120)+Assumptions!$B$119*Assumptions!$B$120)*J10</f>
        <v>1.49</v>
      </c>
      <c r="K11" s="79" t="n">
        <f aca="false">(Assumptions!$B$32*(1-Assumptions!$B$120)+Assumptions!$B$119*Assumptions!$B$120)*K10</f>
        <v>1.49</v>
      </c>
      <c r="L11" s="79" t="n">
        <f aca="false">(Assumptions!$B$32*(1-Assumptions!$B$120)+Assumptions!$B$119*Assumptions!$B$120)*L10</f>
        <v>1.49</v>
      </c>
      <c r="M11" s="79" t="n">
        <f aca="false">(Assumptions!$B$32*(1-Assumptions!$B$120)+Assumptions!$B$119*Assumptions!$B$120)*M10</f>
        <v>1.192</v>
      </c>
      <c r="N11" s="67" t="s">
        <v>81</v>
      </c>
    </row>
    <row r="12" customFormat="false" ht="15" hidden="false" customHeight="false" outlineLevel="0" collapsed="false">
      <c r="A12" s="14" t="s">
        <v>540</v>
      </c>
      <c r="B12" s="79" t="n">
        <f aca="false">(Assumptions!$B$118*(1-Assumptions!$B$122)+Assumptions!$B$121*Assumptions!$B$122)*B10</f>
        <v>0.95</v>
      </c>
      <c r="C12" s="79" t="n">
        <f aca="false">(Assumptions!$B$118*(1-Assumptions!$B$122)+Assumptions!$B$121*Assumptions!$B$122)*C10</f>
        <v>0.76</v>
      </c>
      <c r="D12" s="79" t="n">
        <f aca="false">(Assumptions!$B$118*(1-Assumptions!$B$122)+Assumptions!$B$121*Assumptions!$B$122)*D10</f>
        <v>0.95</v>
      </c>
      <c r="E12" s="79" t="n">
        <f aca="false">(Assumptions!$B$118*(1-Assumptions!$B$122)+Assumptions!$B$121*Assumptions!$B$122)*E10</f>
        <v>0.95</v>
      </c>
      <c r="F12" s="79" t="n">
        <f aca="false">(Assumptions!$B$118*(1-Assumptions!$B$122)+Assumptions!$B$121*Assumptions!$B$122)*F10</f>
        <v>0.95</v>
      </c>
      <c r="G12" s="79" t="n">
        <f aca="false">(Assumptions!$B$118*(1-Assumptions!$B$122)+Assumptions!$B$121*Assumptions!$B$122)*G10</f>
        <v>0.76</v>
      </c>
      <c r="H12" s="79" t="n">
        <f aca="false">(Assumptions!$B$118*(1-Assumptions!$B$122)+Assumptions!$B$121*Assumptions!$B$122)*H10</f>
        <v>0.95</v>
      </c>
      <c r="I12" s="79" t="n">
        <f aca="false">(Assumptions!$B$118*(1-Assumptions!$B$122)+Assumptions!$B$121*Assumptions!$B$122)*I10</f>
        <v>0.95</v>
      </c>
      <c r="J12" s="79" t="n">
        <f aca="false">(Assumptions!$B$118*(1-Assumptions!$B$122)+Assumptions!$B$121*Assumptions!$B$122)*J10</f>
        <v>0.95</v>
      </c>
      <c r="K12" s="79" t="n">
        <f aca="false">(Assumptions!$B$118*(1-Assumptions!$B$122)+Assumptions!$B$121*Assumptions!$B$122)*K10</f>
        <v>0.95</v>
      </c>
      <c r="L12" s="79" t="n">
        <f aca="false">(Assumptions!$B$118*(1-Assumptions!$B$122)+Assumptions!$B$121*Assumptions!$B$122)*L10</f>
        <v>0.95</v>
      </c>
      <c r="M12" s="79" t="n">
        <f aca="false">(Assumptions!$B$118*(1-Assumptions!$B$122)+Assumptions!$B$121*Assumptions!$B$122)*M10</f>
        <v>0.76</v>
      </c>
      <c r="N12" s="67" t="s">
        <v>81</v>
      </c>
    </row>
    <row r="13" customFormat="false" ht="15" hidden="false" customHeight="false" outlineLevel="0" collapsed="false">
      <c r="A13" s="14" t="s">
        <v>541</v>
      </c>
      <c r="B13" s="80" t="n">
        <f aca="false">Assumptions!$B$102*(1+0)</f>
        <v>0.5068</v>
      </c>
      <c r="C13" s="80" t="n">
        <f aca="false">Assumptions!$B$102*(1+Scenarios!$C$17)</f>
        <v>0.60816</v>
      </c>
      <c r="D13" s="80" t="n">
        <f aca="false">Assumptions!$B$102*(1+Scenarios!$C$17)</f>
        <v>0.60816</v>
      </c>
      <c r="E13" s="80" t="n">
        <f aca="false">Assumptions!$B$102*(1+0)</f>
        <v>0.5068</v>
      </c>
      <c r="F13" s="80" t="n">
        <f aca="false">Assumptions!$B$102*(1+0)</f>
        <v>0.5068</v>
      </c>
      <c r="G13" s="80" t="n">
        <f aca="false">Assumptions!$B$102*(1+0)</f>
        <v>0.5068</v>
      </c>
      <c r="H13" s="80" t="n">
        <f aca="false">Assumptions!$B$102*(1+0)</f>
        <v>0.5068</v>
      </c>
      <c r="I13" s="80" t="n">
        <f aca="false">Assumptions!$B$102*(1+0)</f>
        <v>0.5068</v>
      </c>
      <c r="J13" s="80" t="n">
        <f aca="false">Assumptions!$B$102*(1+0)</f>
        <v>0.5068</v>
      </c>
      <c r="K13" s="80" t="n">
        <f aca="false">Assumptions!$B$102*(1+0)</f>
        <v>0.5068</v>
      </c>
      <c r="L13" s="80" t="n">
        <f aca="false">Assumptions!$B$102*(1+0)</f>
        <v>0.5068</v>
      </c>
      <c r="M13" s="80" t="n">
        <f aca="false">Assumptions!$B$102*(1+Scenarios!$C$17)</f>
        <v>0.60816</v>
      </c>
      <c r="N13" s="67" t="s">
        <v>81</v>
      </c>
    </row>
    <row r="14" customFormat="false" ht="15" hidden="false" customHeight="false" outlineLevel="0" collapsed="false">
      <c r="A14" s="14" t="s">
        <v>542</v>
      </c>
      <c r="B14" s="80" t="n">
        <f aca="false">Assumptions!$B$103*(1+0)</f>
        <v>0.0883</v>
      </c>
      <c r="C14" s="80" t="n">
        <f aca="false">Assumptions!$B$103*(1+Scenarios!$C$17)</f>
        <v>0.10596</v>
      </c>
      <c r="D14" s="80" t="n">
        <f aca="false">Assumptions!$B$103*(1+Scenarios!$C$17)</f>
        <v>0.10596</v>
      </c>
      <c r="E14" s="80" t="n">
        <f aca="false">Assumptions!$B$103*(1+0)</f>
        <v>0.0883</v>
      </c>
      <c r="F14" s="80" t="n">
        <f aca="false">Assumptions!$B$103*(1+0)</f>
        <v>0.0883</v>
      </c>
      <c r="G14" s="80" t="n">
        <f aca="false">Assumptions!$B$103*(1+0)</f>
        <v>0.0883</v>
      </c>
      <c r="H14" s="80" t="n">
        <f aca="false">Assumptions!$B$103*(1+0)</f>
        <v>0.0883</v>
      </c>
      <c r="I14" s="80" t="n">
        <f aca="false">Assumptions!$B$103*(1+0)</f>
        <v>0.0883</v>
      </c>
      <c r="J14" s="80" t="n">
        <f aca="false">Assumptions!$B$103*(1+0)</f>
        <v>0.0883</v>
      </c>
      <c r="K14" s="80" t="n">
        <f aca="false">Assumptions!$B$103*(1+0)</f>
        <v>0.0883</v>
      </c>
      <c r="L14" s="80" t="n">
        <f aca="false">Assumptions!$B$103*(1+0)</f>
        <v>0.0883</v>
      </c>
      <c r="M14" s="80" t="n">
        <f aca="false">Assumptions!$B$103*(1+Scenarios!$C$17)</f>
        <v>0.10596</v>
      </c>
      <c r="N14" s="67" t="s">
        <v>81</v>
      </c>
    </row>
    <row r="15" customFormat="false" ht="15" hidden="false" customHeight="false" outlineLevel="0" collapsed="false">
      <c r="A15" s="14" t="s">
        <v>543</v>
      </c>
      <c r="B15" s="79" t="n">
        <f aca="false">0*Assumptions!$B$141</f>
        <v>0</v>
      </c>
      <c r="C15" s="79" t="n">
        <f aca="false">0*Assumptions!$B$141</f>
        <v>0</v>
      </c>
      <c r="D15" s="79" t="n">
        <f aca="false">0*Assumptions!$B$141</f>
        <v>0</v>
      </c>
      <c r="E15" s="79" t="n">
        <f aca="false">0*Assumptions!$B$141</f>
        <v>0</v>
      </c>
      <c r="F15" s="79" t="n">
        <f aca="false">0*Assumptions!$B$141</f>
        <v>0</v>
      </c>
      <c r="G15" s="79" t="n">
        <f aca="false">0*Assumptions!$B$141</f>
        <v>0</v>
      </c>
      <c r="H15" s="79" t="n">
        <f aca="false">0*Assumptions!$B$141</f>
        <v>0</v>
      </c>
      <c r="I15" s="79" t="n">
        <f aca="false">0*Assumptions!$B$141</f>
        <v>0</v>
      </c>
      <c r="J15" s="79" t="n">
        <f aca="false">0*Assumptions!$B$141</f>
        <v>0</v>
      </c>
      <c r="K15" s="79" t="n">
        <f aca="false">1*Assumptions!$B$141</f>
        <v>89.27</v>
      </c>
      <c r="L15" s="79" t="n">
        <f aca="false">0*Assumptions!$B$141</f>
        <v>0</v>
      </c>
      <c r="M15" s="79" t="n">
        <f aca="false">0*Assumptions!$B$141</f>
        <v>0</v>
      </c>
      <c r="N15" s="67" t="s">
        <v>360</v>
      </c>
    </row>
    <row r="16" customFormat="false" ht="15" hidden="false" customHeight="false" outlineLevel="0" collapsed="false">
      <c r="A16" s="40" t="s">
        <v>544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</row>
    <row r="17" customFormat="false" ht="15" hidden="false" customHeight="false" outlineLevel="0" collapsed="false">
      <c r="A17" s="14" t="s">
        <v>545</v>
      </c>
      <c r="B17" s="53" t="n">
        <f aca="false">Assumptions!$B$116</f>
        <v>100000</v>
      </c>
      <c r="C17" s="53" t="n">
        <f aca="false">Assumptions!$B$116</f>
        <v>100000</v>
      </c>
      <c r="D17" s="53" t="n">
        <f aca="false">Assumptions!$B$116</f>
        <v>100000</v>
      </c>
      <c r="E17" s="53" t="n">
        <f aca="false">Assumptions!$B$116</f>
        <v>100000</v>
      </c>
      <c r="F17" s="53" t="n">
        <f aca="false">Assumptions!$B$116</f>
        <v>100000</v>
      </c>
      <c r="G17" s="53" t="n">
        <f aca="false">Assumptions!$B$116</f>
        <v>100000</v>
      </c>
      <c r="H17" s="53" t="n">
        <f aca="false">Assumptions!$B$116</f>
        <v>100000</v>
      </c>
      <c r="I17" s="53" t="n">
        <f aca="false">Assumptions!$B$116</f>
        <v>100000</v>
      </c>
      <c r="J17" s="53" t="n">
        <f aca="false">Assumptions!$B$116</f>
        <v>100000</v>
      </c>
      <c r="K17" s="53" t="n">
        <f aca="false">Assumptions!$B$116</f>
        <v>100000</v>
      </c>
      <c r="L17" s="53" t="n">
        <f aca="false">Assumptions!$B$116</f>
        <v>100000</v>
      </c>
      <c r="M17" s="53" t="n">
        <f aca="false">Assumptions!$B$116</f>
        <v>100000</v>
      </c>
      <c r="N17" s="67" t="s">
        <v>70</v>
      </c>
    </row>
    <row r="18" customFormat="false" ht="15" hidden="false" customHeight="false" outlineLevel="0" collapsed="false">
      <c r="A18" s="14" t="s">
        <v>546</v>
      </c>
      <c r="B18" s="53" t="n">
        <f aca="false">MIN(Assumptions!$B$116*Assumptions!$B$104,Assumptions!$B$129)*1</f>
        <v>50000</v>
      </c>
      <c r="C18" s="53" t="n">
        <f aca="false">MIN(Assumptions!$B$116*Assumptions!$B$104,Assumptions!$B$129)*Scenarios!$C$20</f>
        <v>0</v>
      </c>
      <c r="D18" s="53" t="n">
        <f aca="false">MIN(Assumptions!$B$116*Assumptions!$B$104,Assumptions!$B$129)*1</f>
        <v>50000</v>
      </c>
      <c r="E18" s="53" t="n">
        <f aca="false">MIN(Assumptions!$B$116*Assumptions!$B$104,Assumptions!$B$129)*1</f>
        <v>50000</v>
      </c>
      <c r="F18" s="53" t="n">
        <f aca="false">MIN(Assumptions!$B$116*Assumptions!$B$104,Assumptions!$B$129)*1</f>
        <v>50000</v>
      </c>
      <c r="G18" s="53" t="n">
        <f aca="false">MIN(Assumptions!$B$116*Assumptions!$B$104,Assumptions!$B$129)*1</f>
        <v>50000</v>
      </c>
      <c r="H18" s="53" t="n">
        <f aca="false">MIN(Assumptions!$B$116*Assumptions!$B$104,Assumptions!$B$129)*Scenarios!$C$20</f>
        <v>0</v>
      </c>
      <c r="I18" s="53" t="n">
        <f aca="false">MIN(Assumptions!$B$116*Assumptions!$B$104,Assumptions!$B$129)*1</f>
        <v>50000</v>
      </c>
      <c r="J18" s="53" t="n">
        <f aca="false">MIN(Assumptions!$B$116*Assumptions!$B$104,Assumptions!$B$129)*1</f>
        <v>50000</v>
      </c>
      <c r="K18" s="53" t="n">
        <f aca="false">MIN(Assumptions!$B$116*Assumptions!$B$104,Assumptions!$B$129)*1</f>
        <v>50000</v>
      </c>
      <c r="L18" s="53" t="n">
        <f aca="false">MIN(Assumptions!$B$116*Assumptions!$B$104,Assumptions!$B$129)*1</f>
        <v>50000</v>
      </c>
      <c r="M18" s="53" t="n">
        <f aca="false">MIN(Assumptions!$B$116*Assumptions!$B$104,Assumptions!$B$129)*Scenarios!$C$20</f>
        <v>0</v>
      </c>
      <c r="N18" s="67" t="s">
        <v>70</v>
      </c>
    </row>
    <row r="19" customFormat="false" ht="15" hidden="false" customHeight="false" outlineLevel="0" collapsed="false">
      <c r="A19" s="14" t="s">
        <v>547</v>
      </c>
      <c r="B19" s="53" t="n">
        <f aca="false">Assumptions!$B$107/Assumptions!$B$128</f>
        <v>7500</v>
      </c>
      <c r="C19" s="53" t="n">
        <f aca="false">Assumptions!$B$107/Assumptions!$B$128</f>
        <v>7500</v>
      </c>
      <c r="D19" s="53" t="n">
        <f aca="false">Assumptions!$B$107/Assumptions!$B$128</f>
        <v>7500</v>
      </c>
      <c r="E19" s="53" t="n">
        <f aca="false">Assumptions!$B$107/Assumptions!$B$128</f>
        <v>7500</v>
      </c>
      <c r="F19" s="53" t="n">
        <f aca="false">Assumptions!$B$107/Assumptions!$B$128</f>
        <v>7500</v>
      </c>
      <c r="G19" s="53" t="n">
        <f aca="false">Assumptions!$B$107/Assumptions!$B$128</f>
        <v>7500</v>
      </c>
      <c r="H19" s="53" t="n">
        <f aca="false">Assumptions!$B$107/Assumptions!$B$128</f>
        <v>7500</v>
      </c>
      <c r="I19" s="53" t="n">
        <f aca="false">Assumptions!$B$107/Assumptions!$B$128</f>
        <v>7500</v>
      </c>
      <c r="J19" s="53" t="n">
        <f aca="false">Assumptions!$B$107/Assumptions!$B$128</f>
        <v>7500</v>
      </c>
      <c r="K19" s="53" t="n">
        <f aca="false">Assumptions!$B$107/Assumptions!$B$128</f>
        <v>7500</v>
      </c>
      <c r="L19" s="53" t="n">
        <f aca="false">Assumptions!$B$107/Assumptions!$B$128</f>
        <v>7500</v>
      </c>
      <c r="M19" s="53" t="n">
        <f aca="false">Assumptions!$B$107/Assumptions!$B$128</f>
        <v>7500</v>
      </c>
      <c r="N19" s="67" t="s">
        <v>70</v>
      </c>
    </row>
    <row r="20" customFormat="false" ht="15" hidden="false" customHeight="false" outlineLevel="0" collapsed="false">
      <c r="A20" s="22" t="s">
        <v>548</v>
      </c>
      <c r="B20" s="76" t="n">
        <f aca="false">B17-B18+B19</f>
        <v>57500</v>
      </c>
      <c r="C20" s="76" t="n">
        <f aca="false">C17-C18+C19</f>
        <v>107500</v>
      </c>
      <c r="D20" s="76" t="n">
        <f aca="false">D17-D18+D19</f>
        <v>57500</v>
      </c>
      <c r="E20" s="76" t="n">
        <f aca="false">E17-E18+E19</f>
        <v>57500</v>
      </c>
      <c r="F20" s="76" t="n">
        <f aca="false">F17-F18+F19</f>
        <v>57500</v>
      </c>
      <c r="G20" s="76" t="n">
        <f aca="false">G17-G18+G19</f>
        <v>57500</v>
      </c>
      <c r="H20" s="76" t="n">
        <f aca="false">H17-H18+H19</f>
        <v>107500</v>
      </c>
      <c r="I20" s="76" t="n">
        <f aca="false">I17-I18+I19</f>
        <v>57500</v>
      </c>
      <c r="J20" s="76" t="n">
        <f aca="false">J17-J18+J19</f>
        <v>57500</v>
      </c>
      <c r="K20" s="76" t="n">
        <f aca="false">K17-K18+K19</f>
        <v>57500</v>
      </c>
      <c r="L20" s="76" t="n">
        <f aca="false">L17-L18+L19</f>
        <v>57500</v>
      </c>
      <c r="M20" s="76" t="n">
        <f aca="false">M17-M18+M19</f>
        <v>107500</v>
      </c>
      <c r="N20" s="67" t="s">
        <v>70</v>
      </c>
    </row>
    <row r="21" customFormat="false" ht="15" hidden="false" customHeight="false" outlineLevel="0" collapsed="false">
      <c r="A21" s="14" t="s">
        <v>549</v>
      </c>
      <c r="B21" s="53" t="n">
        <f aca="false">365*B9*B11</f>
        <v>32631</v>
      </c>
      <c r="C21" s="53" t="n">
        <f aca="false">365*C9*C11</f>
        <v>11747.16</v>
      </c>
      <c r="D21" s="53" t="n">
        <f aca="false">365*D9*D11</f>
        <v>32631</v>
      </c>
      <c r="E21" s="53" t="n">
        <f aca="false">365*E9*E11</f>
        <v>32631</v>
      </c>
      <c r="F21" s="53" t="n">
        <f aca="false">365*F9*F11</f>
        <v>29367.9</v>
      </c>
      <c r="G21" s="53" t="n">
        <f aca="false">365*G9*G11</f>
        <v>26104.8</v>
      </c>
      <c r="H21" s="53" t="n">
        <f aca="false">365*H9*H11</f>
        <v>32631</v>
      </c>
      <c r="I21" s="53" t="n">
        <f aca="false">365*I9*I11</f>
        <v>16315.5</v>
      </c>
      <c r="J21" s="53" t="n">
        <f aca="false">365*J9*J11</f>
        <v>32631</v>
      </c>
      <c r="K21" s="53" t="n">
        <f aca="false">365*K9*K11</f>
        <v>32631</v>
      </c>
      <c r="L21" s="53" t="n">
        <f aca="false">365*L9*L11</f>
        <v>32631</v>
      </c>
      <c r="M21" s="53" t="n">
        <f aca="false">365*M9*M11</f>
        <v>11747.16</v>
      </c>
      <c r="N21" s="67" t="s">
        <v>87</v>
      </c>
    </row>
    <row r="22" customFormat="false" ht="15" hidden="false" customHeight="false" outlineLevel="0" collapsed="false">
      <c r="A22" s="14" t="s">
        <v>550</v>
      </c>
      <c r="B22" s="53" t="n">
        <f aca="false">365*Assumptions!$B$124*Assumptions!$B$123*(1-B8)</f>
        <v>1460</v>
      </c>
      <c r="C22" s="53" t="n">
        <f aca="false">365*Scenarios!$C$21*Assumptions!$B$123*(1-C8)</f>
        <v>657</v>
      </c>
      <c r="D22" s="53" t="n">
        <f aca="false">365*Assumptions!$B$124*Assumptions!$B$123*(1-D8)</f>
        <v>1460</v>
      </c>
      <c r="E22" s="53" t="n">
        <f aca="false">365*Assumptions!$B$124*Assumptions!$B$123*(1-E8)</f>
        <v>1460</v>
      </c>
      <c r="F22" s="53" t="n">
        <f aca="false">365*Assumptions!$B$124*Assumptions!$B$123*(1-F8)</f>
        <v>1314</v>
      </c>
      <c r="G22" s="53" t="n">
        <f aca="false">365*Assumptions!$B$124*Assumptions!$B$123*(1-G8)</f>
        <v>1460</v>
      </c>
      <c r="H22" s="53" t="n">
        <f aca="false">365*Assumptions!$B$124*Assumptions!$B$123*(1-H8)</f>
        <v>1460</v>
      </c>
      <c r="I22" s="53" t="n">
        <f aca="false">365*Assumptions!$B$124*Assumptions!$B$123*(1-I8)</f>
        <v>1460</v>
      </c>
      <c r="J22" s="53" t="n">
        <f aca="false">365*0*Assumptions!$B$123*(1-J8)</f>
        <v>0</v>
      </c>
      <c r="K22" s="53" t="n">
        <f aca="false">365*Assumptions!$B$124*Assumptions!$B$123*(1-K8)</f>
        <v>1460</v>
      </c>
      <c r="L22" s="53" t="n">
        <f aca="false">365*Assumptions!$B$124*Assumptions!$B$123*(1-L8)</f>
        <v>1460</v>
      </c>
      <c r="M22" s="53" t="n">
        <f aca="false">365*Scenarios!$C$21*Assumptions!$B$123*(1-M8)</f>
        <v>657</v>
      </c>
      <c r="N22" s="67" t="s">
        <v>87</v>
      </c>
    </row>
    <row r="23" customFormat="false" ht="15" hidden="false" customHeight="false" outlineLevel="0" collapsed="false">
      <c r="A23" s="14" t="s">
        <v>551</v>
      </c>
      <c r="B23" s="53" t="n">
        <f aca="false">Assumptions!$B$126*Assumptions!$B$125*12</f>
        <v>1800</v>
      </c>
      <c r="C23" s="53" t="n">
        <f aca="false">Scenarios!$C$22*Assumptions!$B$125*12</f>
        <v>900</v>
      </c>
      <c r="D23" s="53" t="n">
        <f aca="false">Assumptions!$B$126*Assumptions!$B$125*12</f>
        <v>1800</v>
      </c>
      <c r="E23" s="53" t="n">
        <f aca="false">Assumptions!$B$126*Assumptions!$B$125*12</f>
        <v>1800</v>
      </c>
      <c r="F23" s="53" t="n">
        <f aca="false">Assumptions!$B$126*Assumptions!$B$125*12</f>
        <v>1800</v>
      </c>
      <c r="G23" s="53" t="n">
        <f aca="false">Assumptions!$B$126*Assumptions!$B$125*12</f>
        <v>1800</v>
      </c>
      <c r="H23" s="53" t="n">
        <f aca="false">Assumptions!$B$126*Assumptions!$B$125*12</f>
        <v>1800</v>
      </c>
      <c r="I23" s="53" t="n">
        <f aca="false">Assumptions!$B$126*Assumptions!$B$125*12</f>
        <v>1800</v>
      </c>
      <c r="J23" s="53" t="n">
        <f aca="false">0*Assumptions!$B$125*12</f>
        <v>0</v>
      </c>
      <c r="K23" s="53" t="n">
        <f aca="false">Assumptions!$B$126*Assumptions!$B$125*12</f>
        <v>1800</v>
      </c>
      <c r="L23" s="53" t="n">
        <f aca="false">Assumptions!$B$126*Assumptions!$B$125*12</f>
        <v>1800</v>
      </c>
      <c r="M23" s="53" t="n">
        <f aca="false">Scenarios!$C$22*Assumptions!$B$125*12</f>
        <v>900</v>
      </c>
      <c r="N23" s="67" t="s">
        <v>87</v>
      </c>
    </row>
    <row r="24" customFormat="false" ht="15" hidden="false" customHeight="false" outlineLevel="0" collapsed="false">
      <c r="A24" s="14" t="s">
        <v>129</v>
      </c>
      <c r="B24" s="53" t="n">
        <f aca="false">-Assumptions!$B$33*(B21+B22+B23)</f>
        <v>-1076.73</v>
      </c>
      <c r="C24" s="53" t="n">
        <f aca="false">-Assumptions!$B$33*(C21+C22+C23)</f>
        <v>-399.1248</v>
      </c>
      <c r="D24" s="53" t="n">
        <f aca="false">-Assumptions!$B$33*(D21+D22+D23)</f>
        <v>-1076.73</v>
      </c>
      <c r="E24" s="53" t="n">
        <f aca="false">-Assumptions!$B$33*(E21+E22+E23)</f>
        <v>-1076.73</v>
      </c>
      <c r="F24" s="53" t="n">
        <f aca="false">-Assumptions!$B$33*(F21+F22+F23)</f>
        <v>-974.457</v>
      </c>
      <c r="G24" s="53" t="n">
        <f aca="false">-Assumptions!$B$33*(G21+G22+G23)</f>
        <v>-880.944</v>
      </c>
      <c r="H24" s="53" t="n">
        <f aca="false">-Assumptions!$B$33*(H21+H22+H23)</f>
        <v>-1076.73</v>
      </c>
      <c r="I24" s="53" t="n">
        <f aca="false">-Assumptions!$B$33*(I21+I22+I23)</f>
        <v>-587.265</v>
      </c>
      <c r="J24" s="53" t="n">
        <f aca="false">-Assumptions!$B$33*(J21+J22+J23)</f>
        <v>-978.93</v>
      </c>
      <c r="K24" s="53" t="n">
        <f aca="false">-Assumptions!$B$33*(K21+K22+K23)</f>
        <v>-1076.73</v>
      </c>
      <c r="L24" s="53" t="n">
        <f aca="false">-Assumptions!$B$33*(L21+L22+L23)</f>
        <v>-1076.73</v>
      </c>
      <c r="M24" s="53" t="n">
        <f aca="false">-Assumptions!$B$33*(M21+M22+M23)</f>
        <v>-399.1248</v>
      </c>
      <c r="N24" s="67" t="s">
        <v>87</v>
      </c>
    </row>
    <row r="25" customFormat="false" ht="15" hidden="false" customHeight="false" outlineLevel="0" collapsed="false">
      <c r="A25" s="14" t="s">
        <v>552</v>
      </c>
      <c r="B25" s="53" t="n">
        <f aca="false">-365*B9*B13</f>
        <v>-11098.92</v>
      </c>
      <c r="C25" s="53" t="n">
        <f aca="false">-365*C9*C13</f>
        <v>-5993.4168</v>
      </c>
      <c r="D25" s="53" t="n">
        <f aca="false">-365*D9*D13</f>
        <v>-13318.704</v>
      </c>
      <c r="E25" s="53" t="n">
        <f aca="false">-365*E9*E13</f>
        <v>-11098.92</v>
      </c>
      <c r="F25" s="53" t="n">
        <f aca="false">-365*F9*F13</f>
        <v>-9989.028</v>
      </c>
      <c r="G25" s="53" t="n">
        <f aca="false">-365*G9*G13</f>
        <v>-11098.92</v>
      </c>
      <c r="H25" s="53" t="n">
        <f aca="false">-365*H9*H13</f>
        <v>-11098.92</v>
      </c>
      <c r="I25" s="53" t="n">
        <f aca="false">-365*I9*I13</f>
        <v>-5549.46</v>
      </c>
      <c r="J25" s="53" t="n">
        <f aca="false">-365*J9*J13</f>
        <v>-11098.92</v>
      </c>
      <c r="K25" s="53" t="n">
        <f aca="false">-365*K9*K13</f>
        <v>-11098.92</v>
      </c>
      <c r="L25" s="53" t="n">
        <f aca="false">-365*L9*L13</f>
        <v>-11098.92</v>
      </c>
      <c r="M25" s="53" t="n">
        <f aca="false">-365*M9*M13</f>
        <v>-5993.4168</v>
      </c>
      <c r="N25" s="67" t="s">
        <v>87</v>
      </c>
    </row>
    <row r="26" customFormat="false" ht="15" hidden="false" customHeight="false" outlineLevel="0" collapsed="false">
      <c r="A26" s="14" t="s">
        <v>553</v>
      </c>
      <c r="B26" s="53" t="n">
        <f aca="false">-B15*Assumptions!$B$142*1*12</f>
        <v>-0</v>
      </c>
      <c r="C26" s="53" t="n">
        <f aca="false">-C15*Assumptions!$B$142*1*12</f>
        <v>-0</v>
      </c>
      <c r="D26" s="53" t="n">
        <f aca="false">-D15*Assumptions!$B$142*1*12</f>
        <v>-0</v>
      </c>
      <c r="E26" s="53" t="n">
        <f aca="false">-E15*Assumptions!$B$142*1*12</f>
        <v>-0</v>
      </c>
      <c r="F26" s="53" t="n">
        <f aca="false">-F15*Assumptions!$B$142*1*12</f>
        <v>-0</v>
      </c>
      <c r="G26" s="53" t="n">
        <f aca="false">-G15*Assumptions!$B$142*1*12</f>
        <v>-0</v>
      </c>
      <c r="H26" s="53" t="n">
        <f aca="false">-H15*Assumptions!$B$142*1*12</f>
        <v>-0</v>
      </c>
      <c r="I26" s="53" t="n">
        <f aca="false">-I15*Assumptions!$B$142*1*12</f>
        <v>-0</v>
      </c>
      <c r="J26" s="53" t="n">
        <f aca="false">-J15*Assumptions!$B$142*1*12</f>
        <v>-0</v>
      </c>
      <c r="K26" s="53" t="n">
        <f aca="false">-K15*Assumptions!$B$142*1*12</f>
        <v>-10712.4</v>
      </c>
      <c r="L26" s="53" t="n">
        <f aca="false">-L15*Assumptions!$B$142*1*12</f>
        <v>-0</v>
      </c>
      <c r="M26" s="53" t="n">
        <f aca="false">-M15*Assumptions!$B$142*1*12</f>
        <v>-0</v>
      </c>
      <c r="N26" s="67" t="s">
        <v>87</v>
      </c>
    </row>
    <row r="27" customFormat="false" ht="15" hidden="false" customHeight="false" outlineLevel="0" collapsed="false">
      <c r="A27" s="14" t="s">
        <v>554</v>
      </c>
      <c r="B27" s="53" t="n">
        <f aca="false">-Assumptions!$B$34*(1+0)</f>
        <v>-10000</v>
      </c>
      <c r="C27" s="53" t="n">
        <f aca="false">-Assumptions!$B$34*(1+Scenarios!$C$18)</f>
        <v>-15000</v>
      </c>
      <c r="D27" s="53" t="n">
        <f aca="false">-Assumptions!$B$34*(1+0)</f>
        <v>-10000</v>
      </c>
      <c r="E27" s="53" t="n">
        <f aca="false">-Assumptions!$B$34*(1+Scenarios!$C$18)</f>
        <v>-15000</v>
      </c>
      <c r="F27" s="53" t="n">
        <f aca="false">-Assumptions!$B$34*(1+0)</f>
        <v>-10000</v>
      </c>
      <c r="G27" s="53" t="n">
        <f aca="false">-Assumptions!$B$34*(1+0)</f>
        <v>-10000</v>
      </c>
      <c r="H27" s="53" t="n">
        <f aca="false">-Assumptions!$B$34*(1+0)</f>
        <v>-10000</v>
      </c>
      <c r="I27" s="53" t="n">
        <f aca="false">-Assumptions!$B$34*(1+0)</f>
        <v>-10000</v>
      </c>
      <c r="J27" s="53" t="n">
        <f aca="false">-Assumptions!$B$34*(1+0)</f>
        <v>-10000</v>
      </c>
      <c r="K27" s="53" t="n">
        <f aca="false">-Assumptions!$B$34*(1+0)</f>
        <v>-10000</v>
      </c>
      <c r="L27" s="53" t="n">
        <f aca="false">-Assumptions!$B$34*(1+0)</f>
        <v>-10000</v>
      </c>
      <c r="M27" s="53" t="n">
        <f aca="false">-Assumptions!$B$34*(1+Scenarios!$C$18)</f>
        <v>-15000</v>
      </c>
      <c r="N27" s="67" t="s">
        <v>87</v>
      </c>
    </row>
    <row r="28" customFormat="false" ht="15" hidden="false" customHeight="false" outlineLevel="0" collapsed="false">
      <c r="A28" s="14" t="s">
        <v>555</v>
      </c>
      <c r="B28" s="53" t="n">
        <f aca="false">-Assumptions!$B$108/Assumptions!$B$128</f>
        <v>-2500</v>
      </c>
      <c r="C28" s="53" t="n">
        <f aca="false">-Assumptions!$B$108/Assumptions!$B$128</f>
        <v>-2500</v>
      </c>
      <c r="D28" s="53" t="n">
        <f aca="false">-Assumptions!$B$108/Assumptions!$B$128</f>
        <v>-2500</v>
      </c>
      <c r="E28" s="53" t="n">
        <f aca="false">-Assumptions!$B$108/Assumptions!$B$128</f>
        <v>-2500</v>
      </c>
      <c r="F28" s="53" t="n">
        <f aca="false">-Assumptions!$B$108/Assumptions!$B$128</f>
        <v>-2500</v>
      </c>
      <c r="G28" s="53" t="n">
        <f aca="false">-Assumptions!$B$108/Assumptions!$B$128</f>
        <v>-2500</v>
      </c>
      <c r="H28" s="53" t="n">
        <f aca="false">-Assumptions!$B$108/Assumptions!$B$128</f>
        <v>-2500</v>
      </c>
      <c r="I28" s="53" t="n">
        <f aca="false">-Assumptions!$B$108/Assumptions!$B$128</f>
        <v>-2500</v>
      </c>
      <c r="J28" s="53" t="n">
        <f aca="false">-Assumptions!$B$108/Assumptions!$B$128</f>
        <v>-2500</v>
      </c>
      <c r="K28" s="53" t="n">
        <f aca="false">-Assumptions!$B$108/Assumptions!$B$128</f>
        <v>-2500</v>
      </c>
      <c r="L28" s="53" t="n">
        <f aca="false">-Assumptions!$B$108/Assumptions!$B$128</f>
        <v>-2500</v>
      </c>
      <c r="M28" s="53" t="n">
        <f aca="false">-Assumptions!$B$108/Assumptions!$B$128</f>
        <v>-2500</v>
      </c>
      <c r="N28" s="67" t="s">
        <v>87</v>
      </c>
    </row>
    <row r="29" customFormat="false" ht="15" hidden="false" customHeight="false" outlineLevel="0" collapsed="false">
      <c r="A29" s="22" t="s">
        <v>556</v>
      </c>
      <c r="B29" s="75" t="n">
        <f aca="false">SUM(B21:B28)</f>
        <v>11215.35</v>
      </c>
      <c r="C29" s="75" t="n">
        <f aca="false">SUM(C21:C28)</f>
        <v>-10588.3816</v>
      </c>
      <c r="D29" s="75" t="n">
        <f aca="false">SUM(D21:D28)</f>
        <v>8995.566</v>
      </c>
      <c r="E29" s="75" t="n">
        <f aca="false">SUM(E21:E28)</f>
        <v>6215.35</v>
      </c>
      <c r="F29" s="75" t="n">
        <f aca="false">SUM(F21:F28)</f>
        <v>9018.415</v>
      </c>
      <c r="G29" s="75" t="n">
        <f aca="false">SUM(G21:G28)</f>
        <v>4884.936</v>
      </c>
      <c r="H29" s="75" t="n">
        <f aca="false">SUM(H21:H28)</f>
        <v>11215.35</v>
      </c>
      <c r="I29" s="75" t="n">
        <f aca="false">SUM(I21:I28)</f>
        <v>938.774999999999</v>
      </c>
      <c r="J29" s="75" t="n">
        <f aca="false">SUM(J21:J28)</f>
        <v>8053.15</v>
      </c>
      <c r="K29" s="75" t="n">
        <f aca="false">SUM(K21:K28)</f>
        <v>502.949999999998</v>
      </c>
      <c r="L29" s="75" t="n">
        <f aca="false">SUM(L21:L28)</f>
        <v>11215.35</v>
      </c>
      <c r="M29" s="75" t="n">
        <f aca="false">SUM(M21:M28)</f>
        <v>-10588.3816</v>
      </c>
      <c r="N29" s="67" t="s">
        <v>87</v>
      </c>
    </row>
    <row r="30" customFormat="false" ht="15" hidden="false" customHeight="false" outlineLevel="0" collapsed="false">
      <c r="A30" s="14" t="s">
        <v>557</v>
      </c>
      <c r="B30" s="79" t="n">
        <f aca="false">(B21+B22+B23)/365</f>
        <v>98.3315068493151</v>
      </c>
      <c r="C30" s="79" t="n">
        <f aca="false">(C21+C22+C23)/365</f>
        <v>36.4497534246575</v>
      </c>
      <c r="D30" s="79" t="n">
        <f aca="false">(D21+D22+D23)/365</f>
        <v>98.3315068493151</v>
      </c>
      <c r="E30" s="79" t="n">
        <f aca="false">(E21+E22+E23)/365</f>
        <v>98.3315068493151</v>
      </c>
      <c r="F30" s="79" t="n">
        <f aca="false">(F21+F22+F23)/365</f>
        <v>88.9915068493151</v>
      </c>
      <c r="G30" s="79" t="n">
        <f aca="false">(G21+G22+G23)/365</f>
        <v>80.4515068493151</v>
      </c>
      <c r="H30" s="79" t="n">
        <f aca="false">(H21+H22+H23)/365</f>
        <v>98.3315068493151</v>
      </c>
      <c r="I30" s="79" t="n">
        <f aca="false">(I21+I22+I23)/365</f>
        <v>53.6315068493151</v>
      </c>
      <c r="J30" s="79" t="n">
        <f aca="false">(J21+J22+J23)/365</f>
        <v>89.4</v>
      </c>
      <c r="K30" s="79" t="n">
        <f aca="false">(K21+K22+K23)/365</f>
        <v>98.3315068493151</v>
      </c>
      <c r="L30" s="79" t="n">
        <f aca="false">(L21+L22+L23)/365</f>
        <v>98.3315068493151</v>
      </c>
      <c r="M30" s="79" t="n">
        <f aca="false">(M21+M22+M23)/365</f>
        <v>36.4497534246575</v>
      </c>
      <c r="N30" s="67" t="s">
        <v>558</v>
      </c>
    </row>
    <row r="31" customFormat="false" ht="15" hidden="false" customHeight="false" outlineLevel="0" collapsed="false">
      <c r="A31" s="40" t="s">
        <v>559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</row>
    <row r="32" customFormat="false" ht="15" hidden="false" customHeight="false" outlineLevel="0" collapsed="false">
      <c r="A32" s="14" t="s">
        <v>545</v>
      </c>
      <c r="B32" s="53" t="n">
        <f aca="false">Assumptions!$B$117</f>
        <v>25000</v>
      </c>
      <c r="C32" s="53" t="n">
        <f aca="false">Assumptions!$B$117</f>
        <v>25000</v>
      </c>
      <c r="D32" s="53" t="n">
        <f aca="false">Assumptions!$B$117</f>
        <v>25000</v>
      </c>
      <c r="E32" s="53" t="n">
        <f aca="false">Assumptions!$B$117</f>
        <v>25000</v>
      </c>
      <c r="F32" s="53" t="n">
        <f aca="false">Assumptions!$B$117</f>
        <v>25000</v>
      </c>
      <c r="G32" s="53" t="n">
        <f aca="false">Assumptions!$B$117</f>
        <v>25000</v>
      </c>
      <c r="H32" s="53" t="n">
        <f aca="false">Assumptions!$B$117</f>
        <v>25000</v>
      </c>
      <c r="I32" s="53" t="n">
        <f aca="false">Assumptions!$B$117</f>
        <v>25000</v>
      </c>
      <c r="J32" s="53" t="n">
        <f aca="false">Assumptions!$B$117</f>
        <v>25000</v>
      </c>
      <c r="K32" s="53" t="n">
        <f aca="false">Assumptions!$B$117</f>
        <v>25000</v>
      </c>
      <c r="L32" s="53" t="n">
        <f aca="false">Assumptions!$B$117</f>
        <v>25000</v>
      </c>
      <c r="M32" s="53" t="n">
        <f aca="false">Assumptions!$B$117</f>
        <v>25000</v>
      </c>
      <c r="N32" s="67" t="s">
        <v>70</v>
      </c>
    </row>
    <row r="33" customFormat="false" ht="15" hidden="false" customHeight="false" outlineLevel="0" collapsed="false">
      <c r="A33" s="14" t="s">
        <v>547</v>
      </c>
      <c r="B33" s="53" t="n">
        <f aca="false">Assumptions!$B$107/Assumptions!$B$128</f>
        <v>7500</v>
      </c>
      <c r="C33" s="53" t="n">
        <f aca="false">Assumptions!$B$107/Assumptions!$B$128</f>
        <v>7500</v>
      </c>
      <c r="D33" s="53" t="n">
        <f aca="false">Assumptions!$B$107/Assumptions!$B$128</f>
        <v>7500</v>
      </c>
      <c r="E33" s="53" t="n">
        <f aca="false">Assumptions!$B$107/Assumptions!$B$128</f>
        <v>7500</v>
      </c>
      <c r="F33" s="53" t="n">
        <f aca="false">Assumptions!$B$107/Assumptions!$B$128</f>
        <v>7500</v>
      </c>
      <c r="G33" s="53" t="n">
        <f aca="false">Assumptions!$B$107/Assumptions!$B$128</f>
        <v>7500</v>
      </c>
      <c r="H33" s="53" t="n">
        <f aca="false">Assumptions!$B$107/Assumptions!$B$128</f>
        <v>7500</v>
      </c>
      <c r="I33" s="53" t="n">
        <f aca="false">Assumptions!$B$107/Assumptions!$B$128</f>
        <v>7500</v>
      </c>
      <c r="J33" s="53" t="n">
        <f aca="false">Assumptions!$B$107/Assumptions!$B$128</f>
        <v>7500</v>
      </c>
      <c r="K33" s="53" t="n">
        <f aca="false">Assumptions!$B$107/Assumptions!$B$128</f>
        <v>7500</v>
      </c>
      <c r="L33" s="53" t="n">
        <f aca="false">Assumptions!$B$107/Assumptions!$B$128</f>
        <v>7500</v>
      </c>
      <c r="M33" s="53" t="n">
        <f aca="false">Assumptions!$B$107/Assumptions!$B$128</f>
        <v>7500</v>
      </c>
      <c r="N33" s="67" t="s">
        <v>70</v>
      </c>
    </row>
    <row r="34" customFormat="false" ht="15" hidden="false" customHeight="false" outlineLevel="0" collapsed="false">
      <c r="A34" s="22" t="s">
        <v>548</v>
      </c>
      <c r="B34" s="76" t="n">
        <f aca="false">B32+B33</f>
        <v>32500</v>
      </c>
      <c r="C34" s="76" t="n">
        <f aca="false">C32+C33</f>
        <v>32500</v>
      </c>
      <c r="D34" s="76" t="n">
        <f aca="false">D32+D33</f>
        <v>32500</v>
      </c>
      <c r="E34" s="76" t="n">
        <f aca="false">E32+E33</f>
        <v>32500</v>
      </c>
      <c r="F34" s="76" t="n">
        <f aca="false">F32+F33</f>
        <v>32500</v>
      </c>
      <c r="G34" s="76" t="n">
        <f aca="false">G32+G33</f>
        <v>32500</v>
      </c>
      <c r="H34" s="76" t="n">
        <f aca="false">H32+H33</f>
        <v>32500</v>
      </c>
      <c r="I34" s="76" t="n">
        <f aca="false">I32+I33</f>
        <v>32500</v>
      </c>
      <c r="J34" s="76" t="n">
        <f aca="false">J32+J33</f>
        <v>32500</v>
      </c>
      <c r="K34" s="76" t="n">
        <f aca="false">K32+K33</f>
        <v>32500</v>
      </c>
      <c r="L34" s="76" t="n">
        <f aca="false">L32+L33</f>
        <v>32500</v>
      </c>
      <c r="M34" s="76" t="n">
        <f aca="false">M32+M33</f>
        <v>32500</v>
      </c>
      <c r="N34" s="67" t="s">
        <v>70</v>
      </c>
    </row>
    <row r="35" customFormat="false" ht="15" hidden="false" customHeight="false" outlineLevel="0" collapsed="false">
      <c r="A35" s="14" t="s">
        <v>549</v>
      </c>
      <c r="B35" s="53" t="n">
        <f aca="false">365*B9*B12</f>
        <v>20805</v>
      </c>
      <c r="C35" s="53" t="n">
        <f aca="false">365*C9*C12</f>
        <v>7489.8</v>
      </c>
      <c r="D35" s="53" t="n">
        <f aca="false">365*D9*D12</f>
        <v>20805</v>
      </c>
      <c r="E35" s="53" t="n">
        <f aca="false">365*E9*E12</f>
        <v>20805</v>
      </c>
      <c r="F35" s="53" t="n">
        <f aca="false">365*F9*F12</f>
        <v>18724.5</v>
      </c>
      <c r="G35" s="53" t="n">
        <f aca="false">365*G9*G12</f>
        <v>16644</v>
      </c>
      <c r="H35" s="53" t="n">
        <f aca="false">365*H9*H12</f>
        <v>20805</v>
      </c>
      <c r="I35" s="53" t="n">
        <f aca="false">365*I9*I12</f>
        <v>10402.5</v>
      </c>
      <c r="J35" s="53" t="n">
        <f aca="false">365*J9*J12</f>
        <v>20805</v>
      </c>
      <c r="K35" s="53" t="n">
        <f aca="false">365*K9*K12</f>
        <v>20805</v>
      </c>
      <c r="L35" s="53" t="n">
        <f aca="false">365*L9*L12</f>
        <v>20805</v>
      </c>
      <c r="M35" s="53" t="n">
        <f aca="false">365*M9*M12</f>
        <v>7489.8</v>
      </c>
      <c r="N35" s="67" t="s">
        <v>87</v>
      </c>
    </row>
    <row r="36" customFormat="false" ht="15" hidden="false" customHeight="false" outlineLevel="0" collapsed="false">
      <c r="A36" s="14" t="s">
        <v>550</v>
      </c>
      <c r="B36" s="53" t="n">
        <f aca="false">365*Assumptions!$B$124*Assumptions!$B$123*(1-B8)</f>
        <v>1460</v>
      </c>
      <c r="C36" s="53" t="n">
        <f aca="false">365*Scenarios!$C$21*Assumptions!$B$123*(1-C8)</f>
        <v>657</v>
      </c>
      <c r="D36" s="53" t="n">
        <f aca="false">365*Assumptions!$B$124*Assumptions!$B$123*(1-D8)</f>
        <v>1460</v>
      </c>
      <c r="E36" s="53" t="n">
        <f aca="false">365*Assumptions!$B$124*Assumptions!$B$123*(1-E8)</f>
        <v>1460</v>
      </c>
      <c r="F36" s="53" t="n">
        <f aca="false">365*Assumptions!$B$124*Assumptions!$B$123*(1-F8)</f>
        <v>1314</v>
      </c>
      <c r="G36" s="53" t="n">
        <f aca="false">365*Assumptions!$B$124*Assumptions!$B$123*(1-G8)</f>
        <v>1460</v>
      </c>
      <c r="H36" s="53" t="n">
        <f aca="false">365*Assumptions!$B$124*Assumptions!$B$123*(1-H8)</f>
        <v>1460</v>
      </c>
      <c r="I36" s="53" t="n">
        <f aca="false">365*Assumptions!$B$124*Assumptions!$B$123*(1-I8)</f>
        <v>1460</v>
      </c>
      <c r="J36" s="53" t="n">
        <f aca="false">365*0*Assumptions!$B$123*(1-J8)</f>
        <v>0</v>
      </c>
      <c r="K36" s="53" t="n">
        <f aca="false">365*Assumptions!$B$124*Assumptions!$B$123*(1-K8)</f>
        <v>1460</v>
      </c>
      <c r="L36" s="53" t="n">
        <f aca="false">365*Assumptions!$B$124*Assumptions!$B$123*(1-L8)</f>
        <v>1460</v>
      </c>
      <c r="M36" s="53" t="n">
        <f aca="false">365*Scenarios!$C$21*Assumptions!$B$123*(1-M8)</f>
        <v>657</v>
      </c>
      <c r="N36" s="67" t="s">
        <v>87</v>
      </c>
    </row>
    <row r="37" customFormat="false" ht="15" hidden="false" customHeight="false" outlineLevel="0" collapsed="false">
      <c r="A37" s="14" t="s">
        <v>551</v>
      </c>
      <c r="B37" s="53" t="n">
        <f aca="false">Assumptions!$B$126*Assumptions!$B$125*12</f>
        <v>1800</v>
      </c>
      <c r="C37" s="53" t="n">
        <f aca="false">Scenarios!$C$22*Assumptions!$B$125*12</f>
        <v>900</v>
      </c>
      <c r="D37" s="53" t="n">
        <f aca="false">Assumptions!$B$126*Assumptions!$B$125*12</f>
        <v>1800</v>
      </c>
      <c r="E37" s="53" t="n">
        <f aca="false">Assumptions!$B$126*Assumptions!$B$125*12</f>
        <v>1800</v>
      </c>
      <c r="F37" s="53" t="n">
        <f aca="false">Assumptions!$B$126*Assumptions!$B$125*12</f>
        <v>1800</v>
      </c>
      <c r="G37" s="53" t="n">
        <f aca="false">Assumptions!$B$126*Assumptions!$B$125*12</f>
        <v>1800</v>
      </c>
      <c r="H37" s="53" t="n">
        <f aca="false">Assumptions!$B$126*Assumptions!$B$125*12</f>
        <v>1800</v>
      </c>
      <c r="I37" s="53" t="n">
        <f aca="false">Assumptions!$B$126*Assumptions!$B$125*12</f>
        <v>1800</v>
      </c>
      <c r="J37" s="53" t="n">
        <f aca="false">0*Assumptions!$B$125*12</f>
        <v>0</v>
      </c>
      <c r="K37" s="53" t="n">
        <f aca="false">Assumptions!$B$126*Assumptions!$B$125*12</f>
        <v>1800</v>
      </c>
      <c r="L37" s="53" t="n">
        <f aca="false">Assumptions!$B$126*Assumptions!$B$125*12</f>
        <v>1800</v>
      </c>
      <c r="M37" s="53" t="n">
        <f aca="false">Scenarios!$C$22*Assumptions!$B$125*12</f>
        <v>900</v>
      </c>
      <c r="N37" s="67" t="s">
        <v>87</v>
      </c>
    </row>
    <row r="38" customFormat="false" ht="15" hidden="false" customHeight="false" outlineLevel="0" collapsed="false">
      <c r="A38" s="14" t="s">
        <v>129</v>
      </c>
      <c r="B38" s="53" t="n">
        <f aca="false">-Assumptions!$B$33*(B35+B36+B37)</f>
        <v>-721.95</v>
      </c>
      <c r="C38" s="53" t="n">
        <f aca="false">-Assumptions!$B$33*(C35+C36+C37)</f>
        <v>-271.404</v>
      </c>
      <c r="D38" s="53" t="n">
        <f aca="false">-Assumptions!$B$33*(D35+D36+D37)</f>
        <v>-721.95</v>
      </c>
      <c r="E38" s="53" t="n">
        <f aca="false">-Assumptions!$B$33*(E35+E36+E37)</f>
        <v>-721.95</v>
      </c>
      <c r="F38" s="53" t="n">
        <f aca="false">-Assumptions!$B$33*(F35+F36+F37)</f>
        <v>-655.155</v>
      </c>
      <c r="G38" s="53" t="n">
        <f aca="false">-Assumptions!$B$33*(G35+G36+G37)</f>
        <v>-597.12</v>
      </c>
      <c r="H38" s="53" t="n">
        <f aca="false">-Assumptions!$B$33*(H35+H36+H37)</f>
        <v>-721.95</v>
      </c>
      <c r="I38" s="53" t="n">
        <f aca="false">-Assumptions!$B$33*(I35+I36+I37)</f>
        <v>-409.875</v>
      </c>
      <c r="J38" s="53" t="n">
        <f aca="false">-Assumptions!$B$33*(J35+J36+J37)</f>
        <v>-624.15</v>
      </c>
      <c r="K38" s="53" t="n">
        <f aca="false">-Assumptions!$B$33*(K35+K36+K37)</f>
        <v>-721.95</v>
      </c>
      <c r="L38" s="53" t="n">
        <f aca="false">-Assumptions!$B$33*(L35+L36+L37)</f>
        <v>-721.95</v>
      </c>
      <c r="M38" s="53" t="n">
        <f aca="false">-Assumptions!$B$33*(M35+M36+M37)</f>
        <v>-271.404</v>
      </c>
      <c r="N38" s="67" t="s">
        <v>87</v>
      </c>
    </row>
    <row r="39" customFormat="false" ht="15" hidden="false" customHeight="false" outlineLevel="0" collapsed="false">
      <c r="A39" s="14" t="s">
        <v>552</v>
      </c>
      <c r="B39" s="53" t="n">
        <f aca="false">-365*B9*B13</f>
        <v>-11098.92</v>
      </c>
      <c r="C39" s="53" t="n">
        <f aca="false">-365*C9*C13</f>
        <v>-5993.4168</v>
      </c>
      <c r="D39" s="53" t="n">
        <f aca="false">-365*D9*D13</f>
        <v>-13318.704</v>
      </c>
      <c r="E39" s="53" t="n">
        <f aca="false">-365*E9*E13</f>
        <v>-11098.92</v>
      </c>
      <c r="F39" s="53" t="n">
        <f aca="false">-365*F9*F13</f>
        <v>-9989.028</v>
      </c>
      <c r="G39" s="53" t="n">
        <f aca="false">-365*G9*G13</f>
        <v>-11098.92</v>
      </c>
      <c r="H39" s="53" t="n">
        <f aca="false">-365*H9*H13</f>
        <v>-11098.92</v>
      </c>
      <c r="I39" s="53" t="n">
        <f aca="false">-365*I9*I13</f>
        <v>-5549.46</v>
      </c>
      <c r="J39" s="53" t="n">
        <f aca="false">-365*J9*J13</f>
        <v>-11098.92</v>
      </c>
      <c r="K39" s="53" t="n">
        <f aca="false">-365*K9*K13</f>
        <v>-11098.92</v>
      </c>
      <c r="L39" s="53" t="n">
        <f aca="false">-365*L9*L13</f>
        <v>-11098.92</v>
      </c>
      <c r="M39" s="53" t="n">
        <f aca="false">-365*M9*M13</f>
        <v>-5993.4168</v>
      </c>
      <c r="N39" s="67" t="s">
        <v>87</v>
      </c>
    </row>
    <row r="40" customFormat="false" ht="15" hidden="false" customHeight="false" outlineLevel="0" collapsed="false">
      <c r="A40" s="14" t="s">
        <v>553</v>
      </c>
      <c r="B40" s="53" t="n">
        <f aca="false">-B15*Assumptions!$B$142*22/60*12</f>
        <v>-0</v>
      </c>
      <c r="C40" s="53" t="n">
        <f aca="false">-C15*Assumptions!$B$142*22/60*12</f>
        <v>-0</v>
      </c>
      <c r="D40" s="53" t="n">
        <f aca="false">-D15*Assumptions!$B$142*22/60*12</f>
        <v>-0</v>
      </c>
      <c r="E40" s="53" t="n">
        <f aca="false">-E15*Assumptions!$B$142*22/60*12</f>
        <v>-0</v>
      </c>
      <c r="F40" s="53" t="n">
        <f aca="false">-F15*Assumptions!$B$142*22/60*12</f>
        <v>-0</v>
      </c>
      <c r="G40" s="53" t="n">
        <f aca="false">-G15*Assumptions!$B$142*22/60*12</f>
        <v>-0</v>
      </c>
      <c r="H40" s="53" t="n">
        <f aca="false">-H15*Assumptions!$B$142*22/60*12</f>
        <v>-0</v>
      </c>
      <c r="I40" s="53" t="n">
        <f aca="false">-I15*Assumptions!$B$142*22/60*12</f>
        <v>-0</v>
      </c>
      <c r="J40" s="53" t="n">
        <f aca="false">-J15*Assumptions!$B$142*22/60*12</f>
        <v>-0</v>
      </c>
      <c r="K40" s="53" t="n">
        <f aca="false">-K15*Assumptions!$B$142*22/60*12</f>
        <v>-3927.88</v>
      </c>
      <c r="L40" s="53" t="n">
        <f aca="false">-L15*Assumptions!$B$142*22/60*12</f>
        <v>-0</v>
      </c>
      <c r="M40" s="53" t="n">
        <f aca="false">-M15*Assumptions!$B$142*22/60*12</f>
        <v>-0</v>
      </c>
      <c r="N40" s="67" t="s">
        <v>87</v>
      </c>
    </row>
    <row r="41" customFormat="false" ht="15" hidden="false" customHeight="false" outlineLevel="0" collapsed="false">
      <c r="A41" s="14" t="s">
        <v>554</v>
      </c>
      <c r="B41" s="53" t="n">
        <f aca="false">-Assumptions!$B$127*(1+0)</f>
        <v>-3000</v>
      </c>
      <c r="C41" s="53" t="n">
        <f aca="false">-Assumptions!$B$127*(1+Scenarios!$C$18)</f>
        <v>-4500</v>
      </c>
      <c r="D41" s="53" t="n">
        <f aca="false">-Assumptions!$B$127*(1+0)</f>
        <v>-3000</v>
      </c>
      <c r="E41" s="53" t="n">
        <f aca="false">-Assumptions!$B$127*(1+Scenarios!$C$18)</f>
        <v>-4500</v>
      </c>
      <c r="F41" s="53" t="n">
        <f aca="false">-Assumptions!$B$127*(1+0)</f>
        <v>-3000</v>
      </c>
      <c r="G41" s="53" t="n">
        <f aca="false">-Assumptions!$B$127*(1+0)</f>
        <v>-3000</v>
      </c>
      <c r="H41" s="53" t="n">
        <f aca="false">-Assumptions!$B$127*(1+0)</f>
        <v>-3000</v>
      </c>
      <c r="I41" s="53" t="n">
        <f aca="false">-Assumptions!$B$127*(1+0)</f>
        <v>-3000</v>
      </c>
      <c r="J41" s="53" t="n">
        <f aca="false">-Assumptions!$B$127*(1+0)</f>
        <v>-3000</v>
      </c>
      <c r="K41" s="53" t="n">
        <f aca="false">-Assumptions!$B$127*(1+0)</f>
        <v>-3000</v>
      </c>
      <c r="L41" s="53" t="n">
        <f aca="false">-Assumptions!$B$127*(1+0)</f>
        <v>-3000</v>
      </c>
      <c r="M41" s="53" t="n">
        <f aca="false">-Assumptions!$B$127*(1+Scenarios!$C$18)</f>
        <v>-4500</v>
      </c>
      <c r="N41" s="67" t="s">
        <v>87</v>
      </c>
    </row>
    <row r="42" customFormat="false" ht="15" hidden="false" customHeight="false" outlineLevel="0" collapsed="false">
      <c r="A42" s="14" t="s">
        <v>555</v>
      </c>
      <c r="B42" s="53" t="n">
        <f aca="false">-Assumptions!$B$108/Assumptions!$B$128</f>
        <v>-2500</v>
      </c>
      <c r="C42" s="53" t="n">
        <f aca="false">-Assumptions!$B$108/Assumptions!$B$128</f>
        <v>-2500</v>
      </c>
      <c r="D42" s="53" t="n">
        <f aca="false">-Assumptions!$B$108/Assumptions!$B$128</f>
        <v>-2500</v>
      </c>
      <c r="E42" s="53" t="n">
        <f aca="false">-Assumptions!$B$108/Assumptions!$B$128</f>
        <v>-2500</v>
      </c>
      <c r="F42" s="53" t="n">
        <f aca="false">-Assumptions!$B$108/Assumptions!$B$128</f>
        <v>-2500</v>
      </c>
      <c r="G42" s="53" t="n">
        <f aca="false">-Assumptions!$B$108/Assumptions!$B$128</f>
        <v>-2500</v>
      </c>
      <c r="H42" s="53" t="n">
        <f aca="false">-Assumptions!$B$108/Assumptions!$B$128</f>
        <v>-2500</v>
      </c>
      <c r="I42" s="53" t="n">
        <f aca="false">-Assumptions!$B$108/Assumptions!$B$128</f>
        <v>-2500</v>
      </c>
      <c r="J42" s="53" t="n">
        <f aca="false">-Assumptions!$B$108/Assumptions!$B$128</f>
        <v>-2500</v>
      </c>
      <c r="K42" s="53" t="n">
        <f aca="false">-Assumptions!$B$108/Assumptions!$B$128</f>
        <v>-2500</v>
      </c>
      <c r="L42" s="53" t="n">
        <f aca="false">-Assumptions!$B$108/Assumptions!$B$128</f>
        <v>-2500</v>
      </c>
      <c r="M42" s="53" t="n">
        <f aca="false">-Assumptions!$B$108/Assumptions!$B$128</f>
        <v>-2500</v>
      </c>
      <c r="N42" s="67" t="s">
        <v>87</v>
      </c>
    </row>
    <row r="43" customFormat="false" ht="15" hidden="false" customHeight="false" outlineLevel="0" collapsed="false">
      <c r="A43" s="22" t="s">
        <v>556</v>
      </c>
      <c r="B43" s="75" t="n">
        <f aca="false">SUM(B35:B42)</f>
        <v>6744.13</v>
      </c>
      <c r="C43" s="75" t="n">
        <f aca="false">SUM(C35:C42)</f>
        <v>-4218.0208</v>
      </c>
      <c r="D43" s="75" t="n">
        <f aca="false">SUM(D35:D42)</f>
        <v>4524.346</v>
      </c>
      <c r="E43" s="75" t="n">
        <f aca="false">SUM(E35:E42)</f>
        <v>5244.13</v>
      </c>
      <c r="F43" s="75" t="n">
        <f aca="false">SUM(F35:F42)</f>
        <v>5694.317</v>
      </c>
      <c r="G43" s="75" t="n">
        <f aca="false">SUM(G35:G42)</f>
        <v>2707.96</v>
      </c>
      <c r="H43" s="75" t="n">
        <f aca="false">SUM(H35:H42)</f>
        <v>6744.13</v>
      </c>
      <c r="I43" s="75" t="n">
        <f aca="false">SUM(I35:I42)</f>
        <v>2203.165</v>
      </c>
      <c r="J43" s="75" t="n">
        <f aca="false">SUM(J35:J42)</f>
        <v>3581.93</v>
      </c>
      <c r="K43" s="75" t="n">
        <f aca="false">SUM(K35:K42)</f>
        <v>2816.25</v>
      </c>
      <c r="L43" s="75" t="n">
        <f aca="false">SUM(L35:L42)</f>
        <v>6744.13</v>
      </c>
      <c r="M43" s="75" t="n">
        <f aca="false">SUM(M35:M42)</f>
        <v>-4218.0208</v>
      </c>
      <c r="N43" s="67" t="s">
        <v>87</v>
      </c>
    </row>
    <row r="44" customFormat="false" ht="15" hidden="false" customHeight="false" outlineLevel="0" collapsed="false">
      <c r="A44" s="14" t="s">
        <v>557</v>
      </c>
      <c r="B44" s="79" t="n">
        <f aca="false">(B35+B36+B37)/365</f>
        <v>65.9315068493151</v>
      </c>
      <c r="C44" s="79" t="n">
        <f aca="false">(C35+C36+C37)/365</f>
        <v>24.7857534246575</v>
      </c>
      <c r="D44" s="79" t="n">
        <f aca="false">(D35+D36+D37)/365</f>
        <v>65.9315068493151</v>
      </c>
      <c r="E44" s="79" t="n">
        <f aca="false">(E35+E36+E37)/365</f>
        <v>65.9315068493151</v>
      </c>
      <c r="F44" s="79" t="n">
        <f aca="false">(F35+F36+F37)/365</f>
        <v>59.8315068493151</v>
      </c>
      <c r="G44" s="79" t="n">
        <f aca="false">(G35+G36+G37)/365</f>
        <v>54.5315068493151</v>
      </c>
      <c r="H44" s="79" t="n">
        <f aca="false">(H35+H36+H37)/365</f>
        <v>65.9315068493151</v>
      </c>
      <c r="I44" s="79" t="n">
        <f aca="false">(I35+I36+I37)/365</f>
        <v>37.4315068493151</v>
      </c>
      <c r="J44" s="79" t="n">
        <f aca="false">(J35+J36+J37)/365</f>
        <v>57</v>
      </c>
      <c r="K44" s="79" t="n">
        <f aca="false">(K35+K36+K37)/365</f>
        <v>65.9315068493151</v>
      </c>
      <c r="L44" s="79" t="n">
        <f aca="false">(L35+L36+L37)/365</f>
        <v>65.9315068493151</v>
      </c>
      <c r="M44" s="79" t="n">
        <f aca="false">(M35+M36+M37)/365</f>
        <v>24.7857534246575</v>
      </c>
      <c r="N44" s="67" t="s">
        <v>558</v>
      </c>
    </row>
    <row r="45" customFormat="false" ht="15" hidden="false" customHeight="false" outlineLevel="0" collapsed="false">
      <c r="A45" s="40" t="s">
        <v>560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</row>
    <row r="46" customFormat="false" ht="15" hidden="false" customHeight="false" outlineLevel="0" collapsed="false">
      <c r="A46" s="22" t="s">
        <v>561</v>
      </c>
      <c r="B46" s="76" t="n">
        <f aca="false">Assumptions!$B$115*B20+(1-Assumptions!$B$115)*B34</f>
        <v>45000</v>
      </c>
      <c r="C46" s="76" t="n">
        <f aca="false">Assumptions!$B$115*C20+(1-Assumptions!$B$115)*C34</f>
        <v>70000</v>
      </c>
      <c r="D46" s="76" t="n">
        <f aca="false">Assumptions!$B$115*D20+(1-Assumptions!$B$115)*D34</f>
        <v>45000</v>
      </c>
      <c r="E46" s="76" t="n">
        <f aca="false">Assumptions!$B$115*E20+(1-Assumptions!$B$115)*E34</f>
        <v>45000</v>
      </c>
      <c r="F46" s="76" t="n">
        <f aca="false">Assumptions!$B$115*F20+(1-Assumptions!$B$115)*F34</f>
        <v>45000</v>
      </c>
      <c r="G46" s="76" t="n">
        <f aca="false">Assumptions!$B$115*G20+(1-Assumptions!$B$115)*G34</f>
        <v>45000</v>
      </c>
      <c r="H46" s="76" t="n">
        <f aca="false">Assumptions!$B$115*H20+(1-Assumptions!$B$115)*H34</f>
        <v>70000</v>
      </c>
      <c r="I46" s="76" t="n">
        <f aca="false">Assumptions!$B$115*I20+(1-Assumptions!$B$115)*I34</f>
        <v>45000</v>
      </c>
      <c r="J46" s="76" t="n">
        <f aca="false">Assumptions!$B$115*J20+(1-Assumptions!$B$115)*J34</f>
        <v>45000</v>
      </c>
      <c r="K46" s="76" t="n">
        <f aca="false">Assumptions!$B$115*K20+(1-Assumptions!$B$115)*K34</f>
        <v>45000</v>
      </c>
      <c r="L46" s="76" t="n">
        <f aca="false">Assumptions!$B$115*L20+(1-Assumptions!$B$115)*L34</f>
        <v>45000</v>
      </c>
      <c r="M46" s="76" t="n">
        <f aca="false">Assumptions!$B$115*M20+(1-Assumptions!$B$115)*M34</f>
        <v>70000</v>
      </c>
      <c r="N46" s="67" t="s">
        <v>70</v>
      </c>
    </row>
    <row r="47" customFormat="false" ht="15" hidden="false" customHeight="false" outlineLevel="0" collapsed="false">
      <c r="A47" s="14" t="s">
        <v>562</v>
      </c>
      <c r="B47" s="53" t="n">
        <f aca="false">Assumptions!$B$115*B18</f>
        <v>25000</v>
      </c>
      <c r="C47" s="53" t="n">
        <f aca="false">Assumptions!$B$115*C18</f>
        <v>0</v>
      </c>
      <c r="D47" s="53" t="n">
        <f aca="false">Assumptions!$B$115*D18</f>
        <v>25000</v>
      </c>
      <c r="E47" s="53" t="n">
        <f aca="false">Assumptions!$B$115*E18</f>
        <v>25000</v>
      </c>
      <c r="F47" s="53" t="n">
        <f aca="false">Assumptions!$B$115*F18</f>
        <v>25000</v>
      </c>
      <c r="G47" s="53" t="n">
        <f aca="false">Assumptions!$B$115*G18</f>
        <v>25000</v>
      </c>
      <c r="H47" s="53" t="n">
        <f aca="false">Assumptions!$B$115*H18</f>
        <v>0</v>
      </c>
      <c r="I47" s="53" t="n">
        <f aca="false">Assumptions!$B$115*I18</f>
        <v>25000</v>
      </c>
      <c r="J47" s="53" t="n">
        <f aca="false">Assumptions!$B$115*J18</f>
        <v>25000</v>
      </c>
      <c r="K47" s="53" t="n">
        <f aca="false">Assumptions!$B$115*K18</f>
        <v>25000</v>
      </c>
      <c r="L47" s="53" t="n">
        <f aca="false">Assumptions!$B$115*L18</f>
        <v>25000</v>
      </c>
      <c r="M47" s="53" t="n">
        <f aca="false">Assumptions!$B$115*M18</f>
        <v>0</v>
      </c>
      <c r="N47" s="67" t="s">
        <v>70</v>
      </c>
    </row>
    <row r="48" customFormat="false" ht="15" hidden="false" customHeight="false" outlineLevel="0" collapsed="false">
      <c r="A48" s="14" t="s">
        <v>557</v>
      </c>
      <c r="B48" s="79" t="n">
        <f aca="false">Assumptions!$B$115*B30+(1-Assumptions!$B$115)*B44</f>
        <v>82.1315068493151</v>
      </c>
      <c r="C48" s="79" t="n">
        <f aca="false">Assumptions!$B$115*C30+(1-Assumptions!$B$115)*C44</f>
        <v>30.6177534246575</v>
      </c>
      <c r="D48" s="79" t="n">
        <f aca="false">Assumptions!$B$115*D30+(1-Assumptions!$B$115)*D44</f>
        <v>82.1315068493151</v>
      </c>
      <c r="E48" s="79" t="n">
        <f aca="false">Assumptions!$B$115*E30+(1-Assumptions!$B$115)*E44</f>
        <v>82.1315068493151</v>
      </c>
      <c r="F48" s="79" t="n">
        <f aca="false">Assumptions!$B$115*F30+(1-Assumptions!$B$115)*F44</f>
        <v>74.4115068493151</v>
      </c>
      <c r="G48" s="79" t="n">
        <f aca="false">Assumptions!$B$115*G30+(1-Assumptions!$B$115)*G44</f>
        <v>67.4915068493151</v>
      </c>
      <c r="H48" s="79" t="n">
        <f aca="false">Assumptions!$B$115*H30+(1-Assumptions!$B$115)*H44</f>
        <v>82.1315068493151</v>
      </c>
      <c r="I48" s="79" t="n">
        <f aca="false">Assumptions!$B$115*I30+(1-Assumptions!$B$115)*I44</f>
        <v>45.5315068493151</v>
      </c>
      <c r="J48" s="79" t="n">
        <f aca="false">Assumptions!$B$115*J30+(1-Assumptions!$B$115)*J44</f>
        <v>73.2</v>
      </c>
      <c r="K48" s="79" t="n">
        <f aca="false">Assumptions!$B$115*K30+(1-Assumptions!$B$115)*K44</f>
        <v>82.1315068493151</v>
      </c>
      <c r="L48" s="79" t="n">
        <f aca="false">Assumptions!$B$115*L30+(1-Assumptions!$B$115)*L44</f>
        <v>82.1315068493151</v>
      </c>
      <c r="M48" s="79" t="n">
        <f aca="false">Assumptions!$B$115*M30+(1-Assumptions!$B$115)*M44</f>
        <v>30.6177534246575</v>
      </c>
      <c r="N48" s="67" t="s">
        <v>558</v>
      </c>
    </row>
    <row r="49" customFormat="false" ht="15" hidden="false" customHeight="false" outlineLevel="0" collapsed="false">
      <c r="A49" s="14" t="s">
        <v>563</v>
      </c>
      <c r="B49" s="79" t="n">
        <f aca="false">-(Assumptions!$B$115*(B25+B26)+(1-Assumptions!$B$115)*(B39+B40))/365</f>
        <v>30.408</v>
      </c>
      <c r="C49" s="79" t="n">
        <f aca="false">-(Assumptions!$B$115*(C25+C26)+(1-Assumptions!$B$115)*(C39+C40))/365</f>
        <v>16.42032</v>
      </c>
      <c r="D49" s="79" t="n">
        <f aca="false">-(Assumptions!$B$115*(D25+D26)+(1-Assumptions!$B$115)*(D39+D40))/365</f>
        <v>36.4896</v>
      </c>
      <c r="E49" s="79" t="n">
        <f aca="false">-(Assumptions!$B$115*(E25+E26)+(1-Assumptions!$B$115)*(E39+E40))/365</f>
        <v>30.408</v>
      </c>
      <c r="F49" s="79" t="n">
        <f aca="false">-(Assumptions!$B$115*(F25+F26)+(1-Assumptions!$B$115)*(F39+F40))/365</f>
        <v>27.3672</v>
      </c>
      <c r="G49" s="79" t="n">
        <f aca="false">-(Assumptions!$B$115*(G25+G26)+(1-Assumptions!$B$115)*(G39+G40))/365</f>
        <v>30.408</v>
      </c>
      <c r="H49" s="79" t="n">
        <f aca="false">-(Assumptions!$B$115*(H25+H26)+(1-Assumptions!$B$115)*(H39+H40))/365</f>
        <v>30.408</v>
      </c>
      <c r="I49" s="79" t="n">
        <f aca="false">-(Assumptions!$B$115*(I25+I26)+(1-Assumptions!$B$115)*(I39+I40))/365</f>
        <v>15.204</v>
      </c>
      <c r="J49" s="79" t="n">
        <f aca="false">-(Assumptions!$B$115*(J25+J26)+(1-Assumptions!$B$115)*(J39+J40))/365</f>
        <v>30.408</v>
      </c>
      <c r="K49" s="79" t="n">
        <f aca="false">-(Assumptions!$B$115*(K25+K26)+(1-Assumptions!$B$115)*(K39+K40))/365</f>
        <v>50.4631780821918</v>
      </c>
      <c r="L49" s="79" t="n">
        <f aca="false">-(Assumptions!$B$115*(L25+L26)+(1-Assumptions!$B$115)*(L39+L40))/365</f>
        <v>30.408</v>
      </c>
      <c r="M49" s="79" t="n">
        <f aca="false">-(Assumptions!$B$115*(M25+M26)+(1-Assumptions!$B$115)*(M39+M40))/365</f>
        <v>16.42032</v>
      </c>
      <c r="N49" s="67" t="s">
        <v>558</v>
      </c>
    </row>
    <row r="50" customFormat="false" ht="15" hidden="false" customHeight="false" outlineLevel="0" collapsed="false">
      <c r="A50" s="22" t="s">
        <v>564</v>
      </c>
      <c r="B50" s="75" t="n">
        <f aca="false">Assumptions!$B$115*B29+(1-Assumptions!$B$115)*B43</f>
        <v>8979.74</v>
      </c>
      <c r="C50" s="75" t="n">
        <f aca="false">Assumptions!$B$115*C29+(1-Assumptions!$B$115)*C43</f>
        <v>-7403.2012</v>
      </c>
      <c r="D50" s="75" t="n">
        <f aca="false">Assumptions!$B$115*D29+(1-Assumptions!$B$115)*D43</f>
        <v>6759.956</v>
      </c>
      <c r="E50" s="75" t="n">
        <f aca="false">Assumptions!$B$115*E29+(1-Assumptions!$B$115)*E43</f>
        <v>5729.74</v>
      </c>
      <c r="F50" s="75" t="n">
        <f aca="false">Assumptions!$B$115*F29+(1-Assumptions!$B$115)*F43</f>
        <v>7356.366</v>
      </c>
      <c r="G50" s="75" t="n">
        <f aca="false">Assumptions!$B$115*G29+(1-Assumptions!$B$115)*G43</f>
        <v>3796.448</v>
      </c>
      <c r="H50" s="75" t="n">
        <f aca="false">Assumptions!$B$115*H29+(1-Assumptions!$B$115)*H43</f>
        <v>8979.74</v>
      </c>
      <c r="I50" s="75" t="n">
        <f aca="false">Assumptions!$B$115*I29+(1-Assumptions!$B$115)*I43</f>
        <v>1570.97</v>
      </c>
      <c r="J50" s="75" t="n">
        <f aca="false">Assumptions!$B$115*J29+(1-Assumptions!$B$115)*J43</f>
        <v>5817.54</v>
      </c>
      <c r="K50" s="75" t="n">
        <f aca="false">Assumptions!$B$115*K29+(1-Assumptions!$B$115)*K43</f>
        <v>1659.6</v>
      </c>
      <c r="L50" s="75" t="n">
        <f aca="false">Assumptions!$B$115*L29+(1-Assumptions!$B$115)*L43</f>
        <v>8979.74</v>
      </c>
      <c r="M50" s="75" t="n">
        <f aca="false">Assumptions!$B$115*M29+(1-Assumptions!$B$115)*M43</f>
        <v>-7403.2012</v>
      </c>
      <c r="N50" s="67" t="s">
        <v>87</v>
      </c>
    </row>
    <row r="51" customFormat="false" ht="15" hidden="false" customHeight="false" outlineLevel="0" collapsed="false">
      <c r="A51" s="14" t="s">
        <v>565</v>
      </c>
      <c r="B51" s="74" t="n">
        <f aca="false">IF(B50&lt;=0,"Never",B46/B50)</f>
        <v>5.01128095022796</v>
      </c>
      <c r="C51" s="74" t="str">
        <f aca="false">IF(C50&lt;=0,"Never",C46/C50)</f>
        <v>Never</v>
      </c>
      <c r="D51" s="74" t="n">
        <f aca="false">IF(D50&lt;=0,"Never",D46/D50)</f>
        <v>6.65684806232467</v>
      </c>
      <c r="E51" s="74" t="n">
        <f aca="false">IF(E50&lt;=0,"Never",E46/E50)</f>
        <v>7.8537595074122</v>
      </c>
      <c r="F51" s="74" t="n">
        <f aca="false">IF(F50&lt;=0,"Never",F46/F50)</f>
        <v>6.11715077797924</v>
      </c>
      <c r="G51" s="74" t="n">
        <f aca="false">IF(G50&lt;=0,"Never",G46/G50)</f>
        <v>11.8531848717538</v>
      </c>
      <c r="H51" s="74" t="n">
        <f aca="false">IF(H50&lt;=0,"Never",H46/H50)</f>
        <v>7.79532592257682</v>
      </c>
      <c r="I51" s="74" t="n">
        <f aca="false">IF(I50&lt;=0,"Never",I46/I50)</f>
        <v>28.6447226872569</v>
      </c>
      <c r="J51" s="74" t="n">
        <f aca="false">IF(J50&lt;=0,"Never",J46/J50)</f>
        <v>7.735228292371</v>
      </c>
      <c r="K51" s="74" t="n">
        <f aca="false">IF(K50&lt;=0,"Never",K46/K50)</f>
        <v>27.114967462039</v>
      </c>
      <c r="L51" s="74" t="n">
        <f aca="false">IF(L50&lt;=0,"Never",L46/L50)</f>
        <v>5.01128095022796</v>
      </c>
      <c r="M51" s="74" t="str">
        <f aca="false">IF(M50&lt;=0,"Never",M46/M50)</f>
        <v>Never</v>
      </c>
      <c r="N51" s="67" t="s">
        <v>104</v>
      </c>
    </row>
    <row r="52" customFormat="false" ht="15" hidden="false" customHeight="false" outlineLevel="0" collapsed="false">
      <c r="A52" s="40" t="s">
        <v>566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</row>
    <row r="53" customFormat="false" ht="15" hidden="false" customHeight="false" outlineLevel="0" collapsed="false">
      <c r="A53" s="14" t="s">
        <v>567</v>
      </c>
      <c r="B53" s="53" t="n">
        <f aca="false">B46*Assumptions!$B$31</f>
        <v>22500</v>
      </c>
      <c r="C53" s="53" t="n">
        <f aca="false">C46*Assumptions!$B$31</f>
        <v>35000</v>
      </c>
      <c r="D53" s="53" t="n">
        <f aca="false">D46*Assumptions!$B$31</f>
        <v>22500</v>
      </c>
      <c r="E53" s="53" t="n">
        <f aca="false">E46*Assumptions!$B$31</f>
        <v>22500</v>
      </c>
      <c r="F53" s="53" t="n">
        <f aca="false">F46*Assumptions!$B$31</f>
        <v>22500</v>
      </c>
      <c r="G53" s="53" t="n">
        <f aca="false">G46*Assumptions!$B$31</f>
        <v>22500</v>
      </c>
      <c r="H53" s="53" t="n">
        <f aca="false">H46*Assumptions!$B$31</f>
        <v>35000</v>
      </c>
      <c r="I53" s="53" t="n">
        <f aca="false">I46*Assumptions!$B$31</f>
        <v>22500</v>
      </c>
      <c r="J53" s="53" t="n">
        <f aca="false">J46*Assumptions!$B$31</f>
        <v>22500</v>
      </c>
      <c r="K53" s="53" t="n">
        <f aca="false">K46*Assumptions!$B$31</f>
        <v>22500</v>
      </c>
      <c r="L53" s="53" t="n">
        <f aca="false">L46*Assumptions!$B$31</f>
        <v>22500</v>
      </c>
      <c r="M53" s="53" t="n">
        <f aca="false">M46*Assumptions!$B$31</f>
        <v>35000</v>
      </c>
      <c r="N53" s="67" t="s">
        <v>70</v>
      </c>
    </row>
    <row r="54" customFormat="false" ht="15" hidden="false" customHeight="false" outlineLevel="0" collapsed="false">
      <c r="A54" s="14" t="s">
        <v>568</v>
      </c>
      <c r="B54" s="53" t="n">
        <f aca="false">MAX(0,B50)*Assumptions!$B$31</f>
        <v>4489.87</v>
      </c>
      <c r="C54" s="53" t="n">
        <f aca="false">MAX(0,C50)*Assumptions!$B$31</f>
        <v>0</v>
      </c>
      <c r="D54" s="53" t="n">
        <f aca="false">MAX(0,D50)*Assumptions!$B$31</f>
        <v>3379.978</v>
      </c>
      <c r="E54" s="53" t="n">
        <f aca="false">MAX(0,E50)*Assumptions!$B$31</f>
        <v>2864.87</v>
      </c>
      <c r="F54" s="53" t="n">
        <f aca="false">MAX(0,F50)*Assumptions!$B$31</f>
        <v>3678.183</v>
      </c>
      <c r="G54" s="53" t="n">
        <f aca="false">MAX(0,G50)*Assumptions!$B$31</f>
        <v>1898.224</v>
      </c>
      <c r="H54" s="53" t="n">
        <f aca="false">MAX(0,H50)*Assumptions!$B$31</f>
        <v>4489.87</v>
      </c>
      <c r="I54" s="53" t="n">
        <f aca="false">MAX(0,I50)*Assumptions!$B$31</f>
        <v>785.485</v>
      </c>
      <c r="J54" s="53" t="n">
        <f aca="false">MAX(0,J50)*Assumptions!$B$31</f>
        <v>2908.77</v>
      </c>
      <c r="K54" s="53" t="n">
        <f aca="false">MAX(0,K50)*Assumptions!$B$31</f>
        <v>829.8</v>
      </c>
      <c r="L54" s="53" t="n">
        <f aca="false">MAX(0,L50)*Assumptions!$B$31</f>
        <v>4489.87</v>
      </c>
      <c r="M54" s="53" t="n">
        <f aca="false">MAX(0,M50)*Assumptions!$B$31</f>
        <v>0</v>
      </c>
      <c r="N54" s="67" t="s">
        <v>87</v>
      </c>
    </row>
    <row r="55" customFormat="false" ht="15" hidden="false" customHeight="false" outlineLevel="0" collapsed="false">
      <c r="A55" s="14" t="s">
        <v>569</v>
      </c>
      <c r="B55" s="53" t="n">
        <f aca="false">B50*(1-Assumptions!$B$31)</f>
        <v>4489.87</v>
      </c>
      <c r="C55" s="53" t="n">
        <f aca="false">C50*(1-Assumptions!$B$31)</f>
        <v>-3701.6006</v>
      </c>
      <c r="D55" s="53" t="n">
        <f aca="false">D50*(1-Assumptions!$B$31)</f>
        <v>3379.978</v>
      </c>
      <c r="E55" s="53" t="n">
        <f aca="false">E50*(1-Assumptions!$B$31)</f>
        <v>2864.87</v>
      </c>
      <c r="F55" s="53" t="n">
        <f aca="false">F50*(1-Assumptions!$B$31)</f>
        <v>3678.183</v>
      </c>
      <c r="G55" s="53" t="n">
        <f aca="false">G50*(1-Assumptions!$B$31)</f>
        <v>1898.224</v>
      </c>
      <c r="H55" s="53" t="n">
        <f aca="false">H50*(1-Assumptions!$B$31)</f>
        <v>4489.87</v>
      </c>
      <c r="I55" s="53" t="n">
        <f aca="false">I50*(1-Assumptions!$B$31)</f>
        <v>785.485</v>
      </c>
      <c r="J55" s="53" t="n">
        <f aca="false">J50*(1-Assumptions!$B$31)</f>
        <v>2908.77</v>
      </c>
      <c r="K55" s="53" t="n">
        <f aca="false">K50*(1-Assumptions!$B$31)</f>
        <v>829.8</v>
      </c>
      <c r="L55" s="53" t="n">
        <f aca="false">L50*(1-Assumptions!$B$31)</f>
        <v>4489.87</v>
      </c>
      <c r="M55" s="53" t="n">
        <f aca="false">M50*(1-Assumptions!$B$31)</f>
        <v>-3701.6006</v>
      </c>
      <c r="N55" s="67" t="s">
        <v>87</v>
      </c>
    </row>
    <row r="56" customFormat="false" ht="15" hidden="false" customHeight="false" outlineLevel="0" collapsed="false">
      <c r="A56" s="14" t="s">
        <v>570</v>
      </c>
      <c r="B56" s="53" t="n">
        <f aca="false">B54*(Assumptions!$B$132+Assumptions!$B$135*(Assumptions!$B$36+Assumptions!$B$133))</f>
        <v>4040.883</v>
      </c>
      <c r="C56" s="53" t="n">
        <f aca="false">C54*(Assumptions!$B$132+Assumptions!$B$135*(Assumptions!$B$36+Assumptions!$B$133))</f>
        <v>0</v>
      </c>
      <c r="D56" s="53" t="n">
        <f aca="false">D54*(Assumptions!$B$132+Assumptions!$B$135*(Assumptions!$B$36+Assumptions!$B$133))</f>
        <v>3041.9802</v>
      </c>
      <c r="E56" s="53" t="n">
        <f aca="false">E54*(Assumptions!$B$132+Assumptions!$B$135*(Assumptions!$B$36+Assumptions!$B$133))</f>
        <v>2578.383</v>
      </c>
      <c r="F56" s="53" t="n">
        <f aca="false">F54*(Assumptions!$B$132+Assumptions!$B$135*(Assumptions!$B$36+Assumptions!$B$133))</f>
        <v>3310.3647</v>
      </c>
      <c r="G56" s="53" t="n">
        <f aca="false">G54*(Assumptions!$B$132+Assumptions!$B$135*(Assumptions!$B$36+Assumptions!$B$133))</f>
        <v>1708.4016</v>
      </c>
      <c r="H56" s="53" t="n">
        <f aca="false">H54*(Assumptions!$B$132+Assumptions!$B$135*(Assumptions!$B$36+Assumptions!$B$133))</f>
        <v>4040.883</v>
      </c>
      <c r="I56" s="53" t="n">
        <f aca="false">I54*(Assumptions!$B$132+Assumptions!$B$135*(Assumptions!$B$36+Assumptions!$B$133))</f>
        <v>706.9365</v>
      </c>
      <c r="J56" s="53" t="n">
        <f aca="false">J54*(Assumptions!$B$132+Assumptions!$B$135*(Assumptions!$B$36+Assumptions!$B$133))</f>
        <v>2617.893</v>
      </c>
      <c r="K56" s="53" t="n">
        <f aca="false">K54*(Assumptions!$B$132+Assumptions!$B$135*(Assumptions!$B$36+Assumptions!$B$133))</f>
        <v>746.82</v>
      </c>
      <c r="L56" s="53" t="n">
        <f aca="false">L54*(Assumptions!$B$132+0*(Assumptions!$B$36+Assumptions!$B$133))</f>
        <v>3142.909</v>
      </c>
      <c r="M56" s="53" t="n">
        <f aca="false">M54*(Assumptions!$B$132+Assumptions!$B$135*(Assumptions!$B$36+Assumptions!$B$133))</f>
        <v>0</v>
      </c>
      <c r="N56" s="67" t="s">
        <v>87</v>
      </c>
    </row>
    <row r="57" customFormat="false" ht="15" hidden="false" customHeight="false" outlineLevel="0" collapsed="false">
      <c r="A57" s="14" t="s">
        <v>571</v>
      </c>
      <c r="B57" s="53" t="n">
        <f aca="false">B54*Assumptions!$B$132</f>
        <v>3142.909</v>
      </c>
      <c r="C57" s="53" t="n">
        <f aca="false">C54*Assumptions!$B$132</f>
        <v>0</v>
      </c>
      <c r="D57" s="53" t="n">
        <f aca="false">D54*Assumptions!$B$132</f>
        <v>2365.9846</v>
      </c>
      <c r="E57" s="53" t="n">
        <f aca="false">E54*Assumptions!$B$132</f>
        <v>2005.409</v>
      </c>
      <c r="F57" s="53" t="n">
        <f aca="false">F54*Assumptions!$B$132</f>
        <v>2574.7281</v>
      </c>
      <c r="G57" s="53" t="n">
        <f aca="false">G54*Assumptions!$B$132</f>
        <v>1328.7568</v>
      </c>
      <c r="H57" s="53" t="n">
        <f aca="false">H54*Assumptions!$B$132</f>
        <v>3142.909</v>
      </c>
      <c r="I57" s="53" t="n">
        <f aca="false">I54*Assumptions!$B$132</f>
        <v>549.8395</v>
      </c>
      <c r="J57" s="53" t="n">
        <f aca="false">J54*Assumptions!$B$132</f>
        <v>2036.139</v>
      </c>
      <c r="K57" s="53" t="n">
        <f aca="false">K54*Assumptions!$B$132</f>
        <v>580.86</v>
      </c>
      <c r="L57" s="53" t="n">
        <f aca="false">L54*Assumptions!$B$132</f>
        <v>3142.909</v>
      </c>
      <c r="M57" s="53" t="n">
        <f aca="false">M54*Assumptions!$B$132</f>
        <v>0</v>
      </c>
      <c r="N57" s="67" t="s">
        <v>87</v>
      </c>
    </row>
    <row r="58" customFormat="false" ht="15" hidden="false" customHeight="false" outlineLevel="0" collapsed="false">
      <c r="A58" s="14" t="s">
        <v>572</v>
      </c>
      <c r="B58" s="53" t="n">
        <f aca="false">B54*Assumptions!$B$36</f>
        <v>448.987</v>
      </c>
      <c r="C58" s="53" t="n">
        <f aca="false">C54*Assumptions!$B$36</f>
        <v>0</v>
      </c>
      <c r="D58" s="53" t="n">
        <f aca="false">D54*Assumptions!$B$36</f>
        <v>337.9978</v>
      </c>
      <c r="E58" s="53" t="n">
        <f aca="false">E54*Assumptions!$B$36</f>
        <v>286.487</v>
      </c>
      <c r="F58" s="53" t="n">
        <f aca="false">F54*Assumptions!$B$36</f>
        <v>367.8183</v>
      </c>
      <c r="G58" s="53" t="n">
        <f aca="false">G54*Assumptions!$B$36</f>
        <v>189.8224</v>
      </c>
      <c r="H58" s="53" t="n">
        <f aca="false">H54*Assumptions!$B$36</f>
        <v>448.987</v>
      </c>
      <c r="I58" s="53" t="n">
        <f aca="false">I54*Assumptions!$B$36</f>
        <v>78.5485</v>
      </c>
      <c r="J58" s="53" t="n">
        <f aca="false">J54*Assumptions!$B$36</f>
        <v>290.877</v>
      </c>
      <c r="K58" s="53" t="n">
        <f aca="false">K54*Assumptions!$B$36</f>
        <v>82.98</v>
      </c>
      <c r="L58" s="53" t="n">
        <f aca="false">L54*Assumptions!$B$36</f>
        <v>448.987</v>
      </c>
      <c r="M58" s="53" t="n">
        <f aca="false">M54*Assumptions!$B$36</f>
        <v>0</v>
      </c>
      <c r="N58" s="67" t="s">
        <v>87</v>
      </c>
    </row>
    <row r="59" customFormat="false" ht="15" hidden="false" customHeight="false" outlineLevel="0" collapsed="false">
      <c r="A59" s="14" t="s">
        <v>573</v>
      </c>
      <c r="B59" s="53" t="n">
        <f aca="false">B54*Assumptions!$B$133</f>
        <v>448.987</v>
      </c>
      <c r="C59" s="53" t="n">
        <f aca="false">C54*Assumptions!$B$133</f>
        <v>0</v>
      </c>
      <c r="D59" s="53" t="n">
        <f aca="false">D54*Assumptions!$B$133</f>
        <v>337.9978</v>
      </c>
      <c r="E59" s="53" t="n">
        <f aca="false">E54*Assumptions!$B$133</f>
        <v>286.487</v>
      </c>
      <c r="F59" s="53" t="n">
        <f aca="false">F54*Assumptions!$B$133</f>
        <v>367.8183</v>
      </c>
      <c r="G59" s="53" t="n">
        <f aca="false">G54*Assumptions!$B$133</f>
        <v>189.8224</v>
      </c>
      <c r="H59" s="53" t="n">
        <f aca="false">H54*Assumptions!$B$133</f>
        <v>448.987</v>
      </c>
      <c r="I59" s="53" t="n">
        <f aca="false">I54*Assumptions!$B$133</f>
        <v>78.5485</v>
      </c>
      <c r="J59" s="53" t="n">
        <f aca="false">J54*Assumptions!$B$133</f>
        <v>290.877</v>
      </c>
      <c r="K59" s="53" t="n">
        <f aca="false">K54*Assumptions!$B$133</f>
        <v>82.98</v>
      </c>
      <c r="L59" s="53" t="n">
        <f aca="false">L54*Assumptions!$B$133</f>
        <v>448.987</v>
      </c>
      <c r="M59" s="53" t="n">
        <f aca="false">M54*Assumptions!$B$133</f>
        <v>0</v>
      </c>
      <c r="N59" s="67" t="s">
        <v>87</v>
      </c>
    </row>
    <row r="60" customFormat="false" ht="15" hidden="false" customHeight="false" outlineLevel="0" collapsed="false">
      <c r="A60" s="14" t="s">
        <v>574</v>
      </c>
      <c r="B60" s="53" t="n">
        <f aca="false">B54*Assumptions!$B$134</f>
        <v>448.987</v>
      </c>
      <c r="C60" s="53" t="n">
        <f aca="false">C54*Assumptions!$B$134</f>
        <v>0</v>
      </c>
      <c r="D60" s="53" t="n">
        <f aca="false">D54*Assumptions!$B$134</f>
        <v>337.9978</v>
      </c>
      <c r="E60" s="53" t="n">
        <f aca="false">E54*Assumptions!$B$134</f>
        <v>286.487</v>
      </c>
      <c r="F60" s="53" t="n">
        <f aca="false">F54*Assumptions!$B$134</f>
        <v>367.8183</v>
      </c>
      <c r="G60" s="53" t="n">
        <f aca="false">G54*Assumptions!$B$134</f>
        <v>189.8224</v>
      </c>
      <c r="H60" s="53" t="n">
        <f aca="false">H54*Assumptions!$B$134</f>
        <v>448.987</v>
      </c>
      <c r="I60" s="53" t="n">
        <f aca="false">I54*Assumptions!$B$134</f>
        <v>78.5485</v>
      </c>
      <c r="J60" s="53" t="n">
        <f aca="false">J54*Assumptions!$B$134</f>
        <v>290.877</v>
      </c>
      <c r="K60" s="53" t="n">
        <f aca="false">K54*Assumptions!$B$134</f>
        <v>82.98</v>
      </c>
      <c r="L60" s="53" t="n">
        <f aca="false">L54*Assumptions!$B$134</f>
        <v>448.987</v>
      </c>
      <c r="M60" s="53" t="n">
        <f aca="false">M54*Assumptions!$B$134</f>
        <v>0</v>
      </c>
      <c r="N60" s="67" t="s">
        <v>87</v>
      </c>
    </row>
    <row r="61" customFormat="false" ht="15" hidden="false" customHeight="false" outlineLevel="0" collapsed="false">
      <c r="A61" s="40" t="s">
        <v>575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</row>
    <row r="62" customFormat="false" ht="15" hidden="false" customHeight="false" outlineLevel="0" collapsed="false">
      <c r="A62" s="14" t="s">
        <v>576</v>
      </c>
      <c r="B62" s="74" t="n">
        <f aca="false">MAX(0,Assumptions!$B$75-B9)</f>
        <v>0</v>
      </c>
      <c r="C62" s="74" t="n">
        <f aca="false">MAX(0,Assumptions!$B$75-C9)</f>
        <v>33</v>
      </c>
      <c r="D62" s="74" t="n">
        <f aca="false">MAX(0,Assumptions!$B$75-D9)</f>
        <v>0</v>
      </c>
      <c r="E62" s="74" t="n">
        <f aca="false">MAX(0,Assumptions!$B$75-E9)</f>
        <v>0</v>
      </c>
      <c r="F62" s="74" t="n">
        <f aca="false">MAX(0,Assumptions!$B$75-F9)</f>
        <v>6</v>
      </c>
      <c r="G62" s="74" t="n">
        <f aca="false">MAX(0,Assumptions!$B$75-G9)</f>
        <v>0</v>
      </c>
      <c r="H62" s="74" t="n">
        <f aca="false">MAX(0,Assumptions!$B$75-H9)</f>
        <v>0</v>
      </c>
      <c r="I62" s="74" t="n">
        <f aca="false">MAX(0,Assumptions!$B$75-I9)</f>
        <v>30</v>
      </c>
      <c r="J62" s="74" t="n">
        <f aca="false">MAX(0,Assumptions!$B$75-J9)</f>
        <v>0</v>
      </c>
      <c r="K62" s="74" t="n">
        <f aca="false">MAX(0,Assumptions!$B$75-K9)</f>
        <v>0</v>
      </c>
      <c r="L62" s="74" t="n">
        <f aca="false">MAX(0,Assumptions!$B$75-L9)</f>
        <v>0</v>
      </c>
      <c r="M62" s="74" t="n">
        <f aca="false">MAX(0,Assumptions!$B$75-M9)</f>
        <v>33</v>
      </c>
      <c r="N62" s="67" t="s">
        <v>135</v>
      </c>
    </row>
    <row r="63" customFormat="false" ht="15" hidden="false" customHeight="false" outlineLevel="0" collapsed="false">
      <c r="A63" s="14" t="s">
        <v>577</v>
      </c>
      <c r="B63" s="80" t="n">
        <f aca="false">Assumptions!$B$115*(($B$11)*(1-Assumptions!$B$33)-$B$13)+(1-Assumptions!$B$115)*(($B$12)*(1-Assumptions!$B$33)-$B$13)</f>
        <v>0.6766</v>
      </c>
      <c r="C63" s="80" t="n">
        <f aca="false">Assumptions!$B$115*(($B$11)*(1-Assumptions!$B$33)-$B$13)+(1-Assumptions!$B$115)*(($B$12)*(1-Assumptions!$B$33)-$B$13)</f>
        <v>0.6766</v>
      </c>
      <c r="D63" s="80" t="n">
        <f aca="false">Assumptions!$B$115*(($B$11)*(1-Assumptions!$B$33)-$B$13)+(1-Assumptions!$B$115)*(($B$12)*(1-Assumptions!$B$33)-$B$13)</f>
        <v>0.6766</v>
      </c>
      <c r="E63" s="80" t="n">
        <f aca="false">Assumptions!$B$115*(($B$11)*(1-Assumptions!$B$33)-$B$13)+(1-Assumptions!$B$115)*(($B$12)*(1-Assumptions!$B$33)-$B$13)</f>
        <v>0.6766</v>
      </c>
      <c r="F63" s="80" t="n">
        <f aca="false">Assumptions!$B$115*(($B$11)*(1-Assumptions!$B$33)-$B$13)+(1-Assumptions!$B$115)*(($B$12)*(1-Assumptions!$B$33)-$B$13)</f>
        <v>0.6766</v>
      </c>
      <c r="G63" s="80" t="n">
        <f aca="false">Assumptions!$B$115*(($B$11)*(1-Assumptions!$B$33)-$B$13)+(1-Assumptions!$B$115)*(($B$12)*(1-Assumptions!$B$33)-$B$13)</f>
        <v>0.6766</v>
      </c>
      <c r="H63" s="80" t="n">
        <f aca="false">Assumptions!$B$115*(($B$11)*(1-Assumptions!$B$33)-$B$13)+(1-Assumptions!$B$115)*(($B$12)*(1-Assumptions!$B$33)-$B$13)</f>
        <v>0.6766</v>
      </c>
      <c r="I63" s="80" t="n">
        <f aca="false">Assumptions!$B$115*(($B$11)*(1-Assumptions!$B$33)-$B$13)+(1-Assumptions!$B$115)*(($B$12)*(1-Assumptions!$B$33)-$B$13)</f>
        <v>0.6766</v>
      </c>
      <c r="J63" s="80" t="n">
        <f aca="false">Assumptions!$B$115*(($B$11)*(1-Assumptions!$B$33)-$B$13)+(1-Assumptions!$B$115)*(($B$12)*(1-Assumptions!$B$33)-$B$13)</f>
        <v>0.6766</v>
      </c>
      <c r="K63" s="80" t="n">
        <f aca="false">Assumptions!$B$115*(($B$11)*(1-Assumptions!$B$33)-$B$13)+(1-Assumptions!$B$115)*(($B$12)*(1-Assumptions!$B$33)-$B$13)</f>
        <v>0.6766</v>
      </c>
      <c r="L63" s="80" t="n">
        <f aca="false">Assumptions!$B$115*(($B$11)*(1-Assumptions!$B$33)-$B$13)+(1-Assumptions!$B$115)*(($B$12)*(1-Assumptions!$B$33)-$B$13)</f>
        <v>0.6766</v>
      </c>
      <c r="M63" s="80" t="n">
        <f aca="false">Assumptions!$B$115*(($B$11)*(1-Assumptions!$B$33)-$B$13)+(1-Assumptions!$B$115)*(($B$12)*(1-Assumptions!$B$33)-$B$13)</f>
        <v>0.6766</v>
      </c>
      <c r="N63" s="67" t="s">
        <v>81</v>
      </c>
    </row>
    <row r="64" customFormat="false" ht="15" hidden="false" customHeight="false" outlineLevel="0" collapsed="false">
      <c r="A64" s="14" t="s">
        <v>578</v>
      </c>
      <c r="B64" s="53" t="n">
        <f aca="false">365*B62*B63*Assumptions!$B$31*(Assumptions!$B$132+Assumptions!$B$135*(Assumptions!$B$36+Assumptions!$B$133))*1</f>
        <v>0</v>
      </c>
      <c r="C64" s="53" t="n">
        <f aca="false">365*C62*C63*Assumptions!$B$31*(Assumptions!$B$132+Assumptions!$B$135*(Assumptions!$B$36+Assumptions!$B$133))*1</f>
        <v>3667.34115</v>
      </c>
      <c r="D64" s="53" t="n">
        <f aca="false">365*D62*D63*Assumptions!$B$31*(Assumptions!$B$132+Assumptions!$B$135*(Assumptions!$B$36+Assumptions!$B$133))*1</f>
        <v>0</v>
      </c>
      <c r="E64" s="53" t="n">
        <f aca="false">365*E62*E63*Assumptions!$B$31*(Assumptions!$B$132+Assumptions!$B$135*(Assumptions!$B$36+Assumptions!$B$133))*1</f>
        <v>0</v>
      </c>
      <c r="F64" s="53" t="n">
        <f aca="false">365*F62*F63*Assumptions!$B$31*(Assumptions!$B$132+Assumptions!$B$135*(Assumptions!$B$36+Assumptions!$B$133))*1</f>
        <v>666.7893</v>
      </c>
      <c r="G64" s="53" t="n">
        <f aca="false">365*G62*G63*Assumptions!$B$31*(Assumptions!$B$132+Assumptions!$B$135*(Assumptions!$B$36+Assumptions!$B$133))*1</f>
        <v>0</v>
      </c>
      <c r="H64" s="53" t="n">
        <f aca="false">365*H62*H63*Assumptions!$B$31*(Assumptions!$B$132+Assumptions!$B$135*(Assumptions!$B$36+Assumptions!$B$133))*1</f>
        <v>0</v>
      </c>
      <c r="I64" s="53" t="n">
        <f aca="false">365*I62*I63*Assumptions!$B$31*(Assumptions!$B$132+Assumptions!$B$135*(Assumptions!$B$36+Assumptions!$B$133))*1</f>
        <v>3333.9465</v>
      </c>
      <c r="J64" s="53" t="n">
        <f aca="false">365*J62*J63*Assumptions!$B$31*(Assumptions!$B$132+Assumptions!$B$135*(Assumptions!$B$36+Assumptions!$B$133))*1</f>
        <v>0</v>
      </c>
      <c r="K64" s="53" t="n">
        <f aca="false">365*K62*K63*Assumptions!$B$31*(Assumptions!$B$132+Assumptions!$B$135*(Assumptions!$B$36+Assumptions!$B$133))*1</f>
        <v>0</v>
      </c>
      <c r="L64" s="53" t="n">
        <f aca="false">365*L62*L63*Assumptions!$B$31*(Assumptions!$B$132+0*(Assumptions!$B$36+Assumptions!$B$133))*1</f>
        <v>0</v>
      </c>
      <c r="M64" s="53" t="n">
        <f aca="false">365*M62*M63*Assumptions!$B$31*(Assumptions!$B$132+Assumptions!$B$135*(Assumptions!$B$36+Assumptions!$B$133))*0</f>
        <v>0</v>
      </c>
      <c r="N64" s="67" t="s">
        <v>87</v>
      </c>
    </row>
    <row r="65" customFormat="false" ht="15" hidden="false" customHeight="false" outlineLevel="0" collapsed="false">
      <c r="A65" s="22" t="s">
        <v>579</v>
      </c>
      <c r="B65" s="76" t="n">
        <f aca="false">MIN(Assumptions!$B$140,B64)</f>
        <v>0</v>
      </c>
      <c r="C65" s="76" t="n">
        <f aca="false">MIN(Assumptions!$B$140,C64)</f>
        <v>3000</v>
      </c>
      <c r="D65" s="76" t="n">
        <f aca="false">MIN(Assumptions!$B$140,D64)</f>
        <v>0</v>
      </c>
      <c r="E65" s="76" t="n">
        <f aca="false">MIN(Assumptions!$B$140,E64)</f>
        <v>0</v>
      </c>
      <c r="F65" s="76" t="n">
        <f aca="false">MIN(Assumptions!$B$140,F64)</f>
        <v>666.7893</v>
      </c>
      <c r="G65" s="76" t="n">
        <f aca="false">MIN(Assumptions!$B$140,G64)</f>
        <v>0</v>
      </c>
      <c r="H65" s="76" t="n">
        <f aca="false">MIN(Assumptions!$B$140,H64)</f>
        <v>0</v>
      </c>
      <c r="I65" s="76" t="n">
        <f aca="false">MIN(Assumptions!$B$140,I64)</f>
        <v>3000</v>
      </c>
      <c r="J65" s="76" t="n">
        <f aca="false">MIN(Assumptions!$B$140,J64)</f>
        <v>0</v>
      </c>
      <c r="K65" s="76" t="n">
        <f aca="false">MIN(Assumptions!$B$140,K64)</f>
        <v>0</v>
      </c>
      <c r="L65" s="76" t="n">
        <f aca="false">MIN(Assumptions!$B$140,L64)</f>
        <v>0</v>
      </c>
      <c r="M65" s="76" t="n">
        <f aca="false">MIN(Assumptions!$B$140,M64)</f>
        <v>0</v>
      </c>
      <c r="N65" s="67" t="s">
        <v>87</v>
      </c>
    </row>
    <row r="66" customFormat="false" ht="15" hidden="false" customHeight="false" outlineLevel="0" collapsed="false">
      <c r="A66" s="14" t="s">
        <v>580</v>
      </c>
      <c r="B66" s="53" t="n">
        <f aca="false">B65*Assumptions!$B$76</f>
        <v>0</v>
      </c>
      <c r="C66" s="53" t="n">
        <f aca="false">C65*Assumptions!$B$76</f>
        <v>990</v>
      </c>
      <c r="D66" s="53" t="n">
        <f aca="false">D65*Assumptions!$B$76</f>
        <v>0</v>
      </c>
      <c r="E66" s="53" t="n">
        <f aca="false">E65*Assumptions!$B$76</f>
        <v>0</v>
      </c>
      <c r="F66" s="53" t="n">
        <f aca="false">F65*Assumptions!$B$76</f>
        <v>220.040469</v>
      </c>
      <c r="G66" s="53" t="n">
        <f aca="false">G65*Assumptions!$B$76</f>
        <v>0</v>
      </c>
      <c r="H66" s="53" t="n">
        <f aca="false">H65*Assumptions!$B$76</f>
        <v>0</v>
      </c>
      <c r="I66" s="53" t="n">
        <f aca="false">I65*Assumptions!$B$76</f>
        <v>990</v>
      </c>
      <c r="J66" s="53" t="n">
        <f aca="false">J65*Assumptions!$B$76</f>
        <v>0</v>
      </c>
      <c r="K66" s="53" t="n">
        <f aca="false">K65*Assumptions!$B$76</f>
        <v>0</v>
      </c>
      <c r="L66" s="53" t="n">
        <f aca="false">L65*Assumptions!$B$76</f>
        <v>0</v>
      </c>
      <c r="M66" s="53" t="n">
        <f aca="false">M65*Assumptions!$B$76</f>
        <v>0</v>
      </c>
      <c r="N66" s="67" t="s">
        <v>87</v>
      </c>
    </row>
    <row r="67" customFormat="false" ht="15" hidden="false" customHeight="false" outlineLevel="0" collapsed="false">
      <c r="A67" s="14" t="s">
        <v>581</v>
      </c>
      <c r="B67" s="53" t="n">
        <f aca="false">B65*Assumptions!$B$138</f>
        <v>0</v>
      </c>
      <c r="C67" s="53" t="n">
        <f aca="false">C65*Assumptions!$B$138</f>
        <v>990</v>
      </c>
      <c r="D67" s="53" t="n">
        <f aca="false">D65*Assumptions!$B$138</f>
        <v>0</v>
      </c>
      <c r="E67" s="53" t="n">
        <f aca="false">E65*Assumptions!$B$138</f>
        <v>0</v>
      </c>
      <c r="F67" s="53" t="n">
        <f aca="false">F65*Assumptions!$B$138</f>
        <v>220.040469</v>
      </c>
      <c r="G67" s="53" t="n">
        <f aca="false">G65*Assumptions!$B$138</f>
        <v>0</v>
      </c>
      <c r="H67" s="53" t="n">
        <f aca="false">H65*Assumptions!$B$138</f>
        <v>0</v>
      </c>
      <c r="I67" s="53" t="n">
        <f aca="false">I65*Assumptions!$B$138</f>
        <v>990</v>
      </c>
      <c r="J67" s="53" t="n">
        <f aca="false">J65*Assumptions!$B$138</f>
        <v>0</v>
      </c>
      <c r="K67" s="53" t="n">
        <f aca="false">K65*Assumptions!$B$138</f>
        <v>0</v>
      </c>
      <c r="L67" s="53" t="n">
        <f aca="false">L65*Assumptions!$B$138</f>
        <v>0</v>
      </c>
      <c r="M67" s="53" t="n">
        <f aca="false">M65*Assumptions!$B$138</f>
        <v>0</v>
      </c>
      <c r="N67" s="67" t="s">
        <v>87</v>
      </c>
    </row>
    <row r="68" customFormat="false" ht="15" hidden="false" customHeight="false" outlineLevel="0" collapsed="false">
      <c r="A68" s="14" t="s">
        <v>582</v>
      </c>
      <c r="B68" s="53" t="n">
        <f aca="false">B65*Assumptions!$B$139</f>
        <v>0</v>
      </c>
      <c r="C68" s="53" t="n">
        <f aca="false">C65*Assumptions!$B$139</f>
        <v>1020</v>
      </c>
      <c r="D68" s="53" t="n">
        <f aca="false">D65*Assumptions!$B$139</f>
        <v>0</v>
      </c>
      <c r="E68" s="53" t="n">
        <f aca="false">E65*Assumptions!$B$139</f>
        <v>0</v>
      </c>
      <c r="F68" s="53" t="n">
        <f aca="false">F65*Assumptions!$B$139</f>
        <v>226.708362</v>
      </c>
      <c r="G68" s="53" t="n">
        <f aca="false">G65*Assumptions!$B$139</f>
        <v>0</v>
      </c>
      <c r="H68" s="53" t="n">
        <f aca="false">H65*Assumptions!$B$139</f>
        <v>0</v>
      </c>
      <c r="I68" s="53" t="n">
        <f aca="false">I65*Assumptions!$B$139</f>
        <v>1020</v>
      </c>
      <c r="J68" s="53" t="n">
        <f aca="false">J65*Assumptions!$B$139</f>
        <v>0</v>
      </c>
      <c r="K68" s="53" t="n">
        <f aca="false">K65*Assumptions!$B$139</f>
        <v>0</v>
      </c>
      <c r="L68" s="53" t="n">
        <f aca="false">L65*Assumptions!$B$139</f>
        <v>0</v>
      </c>
      <c r="M68" s="53" t="n">
        <f aca="false">M65*Assumptions!$B$139</f>
        <v>0</v>
      </c>
      <c r="N68" s="67" t="s">
        <v>87</v>
      </c>
    </row>
    <row r="69" customFormat="false" ht="15" hidden="false" customHeight="false" outlineLevel="0" collapsed="false">
      <c r="A69" s="40" t="s">
        <v>583</v>
      </c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</row>
    <row r="70" customFormat="false" ht="15" hidden="false" customHeight="false" outlineLevel="0" collapsed="false">
      <c r="A70" s="14" t="s">
        <v>584</v>
      </c>
      <c r="B70" s="79" t="n">
        <f aca="false">(B56+B65)/B53*1000</f>
        <v>179.5948</v>
      </c>
      <c r="C70" s="79" t="n">
        <f aca="false">(C56+C65)/C53*1000</f>
        <v>85.7142857142857</v>
      </c>
      <c r="D70" s="79" t="n">
        <f aca="false">(D56+D65)/D53*1000</f>
        <v>135.19912</v>
      </c>
      <c r="E70" s="79" t="n">
        <f aca="false">(E56+E65)/E53*1000</f>
        <v>114.5948</v>
      </c>
      <c r="F70" s="79" t="n">
        <f aca="false">(F56+F65)/F53*1000</f>
        <v>176.7624</v>
      </c>
      <c r="G70" s="79" t="n">
        <f aca="false">(G56+G65)/G53*1000</f>
        <v>75.92896</v>
      </c>
      <c r="H70" s="79" t="n">
        <f aca="false">(H56+H65)/H53*1000</f>
        <v>115.4538</v>
      </c>
      <c r="I70" s="79" t="n">
        <f aca="false">(I56+I65)/I53*1000</f>
        <v>164.752733333333</v>
      </c>
      <c r="J70" s="79" t="n">
        <f aca="false">(J56+J65)/J53*1000</f>
        <v>116.3508</v>
      </c>
      <c r="K70" s="79" t="n">
        <f aca="false">(K56+K65)/K53*1000</f>
        <v>33.192</v>
      </c>
      <c r="L70" s="79" t="n">
        <f aca="false">(L56+L65)/L53*1000</f>
        <v>139.684844444444</v>
      </c>
      <c r="M70" s="79" t="n">
        <f aca="false">(M56+M65)/M53*1000</f>
        <v>0</v>
      </c>
      <c r="N70" s="67" t="s">
        <v>87</v>
      </c>
    </row>
    <row r="71" customFormat="false" ht="15" hidden="false" customHeight="false" outlineLevel="0" collapsed="false">
      <c r="A71" s="14" t="s">
        <v>585</v>
      </c>
      <c r="B71" s="79" t="n">
        <f aca="false">(B57+B65)/B53*1000</f>
        <v>139.684844444444</v>
      </c>
      <c r="C71" s="79" t="n">
        <f aca="false">(C57+C65)/C53*1000</f>
        <v>85.7142857142857</v>
      </c>
      <c r="D71" s="79" t="n">
        <f aca="false">(D57+D65)/D53*1000</f>
        <v>105.154871111111</v>
      </c>
      <c r="E71" s="79" t="n">
        <f aca="false">(E57+E65)/E53*1000</f>
        <v>89.1292888888889</v>
      </c>
      <c r="F71" s="79" t="n">
        <f aca="false">(F57+F65)/F53*1000</f>
        <v>144.06744</v>
      </c>
      <c r="G71" s="79" t="n">
        <f aca="false">(G57+G65)/G53*1000</f>
        <v>59.0558577777778</v>
      </c>
      <c r="H71" s="79" t="n">
        <f aca="false">(H57+H65)/H53*1000</f>
        <v>89.7974</v>
      </c>
      <c r="I71" s="79" t="n">
        <f aca="false">(I57+I65)/I53*1000</f>
        <v>157.770644444444</v>
      </c>
      <c r="J71" s="79" t="n">
        <f aca="false">(J57+J65)/J53*1000</f>
        <v>90.4950666666667</v>
      </c>
      <c r="K71" s="79" t="n">
        <f aca="false">(K57+K65)/K53*1000</f>
        <v>25.816</v>
      </c>
      <c r="L71" s="79" t="n">
        <f aca="false">(L57+L65)/L53*1000</f>
        <v>139.684844444444</v>
      </c>
      <c r="M71" s="79" t="n">
        <f aca="false">(M57+M65)/M53*1000</f>
        <v>0</v>
      </c>
      <c r="N71" s="67" t="s">
        <v>87</v>
      </c>
    </row>
    <row r="72" customFormat="false" ht="15" hidden="false" customHeight="false" outlineLevel="0" collapsed="false">
      <c r="A72" s="14" t="s">
        <v>586</v>
      </c>
      <c r="B72" s="79" t="n">
        <f aca="false">B60*Assumptions!$B$137*Assumptions!$B$136/B53*1000</f>
        <v>69.8424222222222</v>
      </c>
      <c r="C72" s="79" t="n">
        <f aca="false">C60*Assumptions!$B$137*Assumptions!$B$136/C53*1000</f>
        <v>0</v>
      </c>
      <c r="D72" s="79" t="n">
        <f aca="false">D60*Assumptions!$B$137*Assumptions!$B$136/D53*1000</f>
        <v>52.5774355555556</v>
      </c>
      <c r="E72" s="79" t="n">
        <f aca="false">E60*Assumptions!$B$137*Assumptions!$B$136/E53*1000</f>
        <v>44.5646444444445</v>
      </c>
      <c r="F72" s="79" t="n">
        <f aca="false">F60*Assumptions!$B$137*Assumptions!$B$136/F53*1000</f>
        <v>57.21618</v>
      </c>
      <c r="G72" s="79" t="n">
        <f aca="false">G60*Assumptions!$B$137*Assumptions!$B$136/G53*1000</f>
        <v>29.5279288888889</v>
      </c>
      <c r="H72" s="79" t="n">
        <f aca="false">H60*Assumptions!$B$137*Assumptions!$B$136/H53*1000</f>
        <v>44.8987</v>
      </c>
      <c r="I72" s="79" t="n">
        <f aca="false">I60*Assumptions!$B$137*Assumptions!$B$136/I53*1000</f>
        <v>12.2186555555556</v>
      </c>
      <c r="J72" s="79" t="n">
        <f aca="false">J60*Assumptions!$B$137*Assumptions!$B$136/J53*1000</f>
        <v>45.2475333333333</v>
      </c>
      <c r="K72" s="79" t="n">
        <f aca="false">K60*Assumptions!$B$137*Assumptions!$B$136/K53*1000</f>
        <v>12.908</v>
      </c>
      <c r="L72" s="79" t="n">
        <f aca="false">L60*Assumptions!$B$137*Assumptions!$B$136/L53*1000</f>
        <v>69.8424222222222</v>
      </c>
      <c r="M72" s="79" t="n">
        <f aca="false">M60*Assumptions!$B$137*Assumptions!$B$136/M53*1000</f>
        <v>0</v>
      </c>
      <c r="N72" s="67" t="s">
        <v>70</v>
      </c>
    </row>
    <row r="73" customFormat="false" ht="15" hidden="false" customHeight="false" outlineLevel="0" collapsed="false">
      <c r="A73" s="14" t="s">
        <v>587</v>
      </c>
      <c r="B73" s="74" t="n">
        <f aca="false">IF(B70&lt;=0,99,1000/B70)</f>
        <v>5.56808994469773</v>
      </c>
      <c r="C73" s="74" t="n">
        <f aca="false">IF(C70&lt;=0,99,1000/C70)</f>
        <v>11.6666666666667</v>
      </c>
      <c r="D73" s="74" t="n">
        <f aca="false">IF(D70&lt;=0,99,1000/D70)</f>
        <v>7.39649784702741</v>
      </c>
      <c r="E73" s="74" t="n">
        <f aca="false">IF(E70&lt;=0,99,1000/E70)</f>
        <v>8.72639945268023</v>
      </c>
      <c r="F73" s="74" t="n">
        <f aca="false">IF(F70&lt;=0,99,1000/F70)</f>
        <v>5.65731173598005</v>
      </c>
      <c r="G73" s="74" t="n">
        <f aca="false">IF(G70&lt;=0,99,1000/G70)</f>
        <v>13.1702054130598</v>
      </c>
      <c r="H73" s="74" t="n">
        <f aca="false">IF(H70&lt;=0,99,1000/H70)</f>
        <v>8.66147324730758</v>
      </c>
      <c r="I73" s="74" t="n">
        <f aca="false">IF(I70&lt;=0,99,1000/I70)</f>
        <v>6.0697020302344</v>
      </c>
      <c r="J73" s="74" t="n">
        <f aca="false">IF(J70&lt;=0,99,1000/J70)</f>
        <v>8.59469810263445</v>
      </c>
      <c r="K73" s="74" t="n">
        <f aca="false">IF(K70&lt;=0,99,1000/K70)</f>
        <v>30.1277416244878</v>
      </c>
      <c r="L73" s="74" t="n">
        <f aca="false">IF(L70&lt;=0,99,1000/L70)</f>
        <v>7.15897278603994</v>
      </c>
      <c r="M73" s="74" t="n">
        <f aca="false">IF(M70&lt;=0,99,1000/M70)</f>
        <v>99</v>
      </c>
      <c r="N73" s="67" t="s">
        <v>104</v>
      </c>
    </row>
    <row r="74" customFormat="false" ht="15" hidden="false" customHeight="false" outlineLevel="0" collapsed="false">
      <c r="A74" s="14" t="s">
        <v>588</v>
      </c>
      <c r="B74" s="79" t="n">
        <f aca="false">-1000</f>
        <v>-1000</v>
      </c>
      <c r="C74" s="79" t="n">
        <f aca="false">-1000</f>
        <v>-1000</v>
      </c>
      <c r="D74" s="79" t="n">
        <f aca="false">-1000</f>
        <v>-1000</v>
      </c>
      <c r="E74" s="79" t="n">
        <f aca="false">-1000</f>
        <v>-1000</v>
      </c>
      <c r="F74" s="79" t="n">
        <f aca="false">-1000</f>
        <v>-1000</v>
      </c>
      <c r="G74" s="79" t="n">
        <f aca="false">-1000</f>
        <v>-1000</v>
      </c>
      <c r="H74" s="79" t="n">
        <f aca="false">-1000</f>
        <v>-1000</v>
      </c>
      <c r="I74" s="79" t="n">
        <f aca="false">-1000</f>
        <v>-1000</v>
      </c>
      <c r="J74" s="79" t="n">
        <f aca="false">-1000</f>
        <v>-1000</v>
      </c>
      <c r="K74" s="79" t="n">
        <f aca="false">-1000</f>
        <v>-1000</v>
      </c>
      <c r="L74" s="79" t="n">
        <f aca="false">-1000</f>
        <v>-1000</v>
      </c>
      <c r="M74" s="79" t="n">
        <f aca="false">-1000</f>
        <v>-1000</v>
      </c>
      <c r="N74" s="67"/>
    </row>
    <row r="75" customFormat="false" ht="15" hidden="false" customHeight="false" outlineLevel="0" collapsed="false">
      <c r="A75" s="14" t="s">
        <v>448</v>
      </c>
      <c r="B75" s="79" t="n">
        <f aca="false">IF(1&gt;Assumptions!$B$137,0,IF(0&lt;1000,B70,B71)+IF(1=Assumptions!$B$137,B72,0))</f>
        <v>179.5948</v>
      </c>
      <c r="C75" s="79" t="n">
        <f aca="false">IF(1&gt;Assumptions!$B$137,0,IF(0&lt;1000,C70,C71)+IF(1=Assumptions!$B$137,C72,0))</f>
        <v>85.7142857142857</v>
      </c>
      <c r="D75" s="79" t="n">
        <f aca="false">IF(1&gt;Assumptions!$B$137,0,IF(0&lt;1000,D70,D71)+IF(1=Assumptions!$B$137,D72,0))</f>
        <v>135.19912</v>
      </c>
      <c r="E75" s="79" t="n">
        <f aca="false">IF(1&gt;Assumptions!$B$137,0,IF(0&lt;1000,E70,E71)+IF(1=Assumptions!$B$137,E72,0))</f>
        <v>114.5948</v>
      </c>
      <c r="F75" s="79" t="n">
        <f aca="false">IF(1&gt;Assumptions!$B$137,0,IF(0&lt;1000,F70,F71)+IF(1=Assumptions!$B$137,F72,0))</f>
        <v>176.7624</v>
      </c>
      <c r="G75" s="79" t="n">
        <f aca="false">IF(1&gt;Assumptions!$B$137,0,IF(0&lt;1000,G70,G71)+IF(1=Assumptions!$B$137,G72,0))</f>
        <v>75.92896</v>
      </c>
      <c r="H75" s="79" t="n">
        <f aca="false">IF(1&gt;Assumptions!$B$137,0,IF(0&lt;1000,H70,H71)+IF(1=Assumptions!$B$137,H72,0))</f>
        <v>115.4538</v>
      </c>
      <c r="I75" s="79" t="n">
        <f aca="false">IF(1&gt;Assumptions!$B$137,0,IF(0&lt;1000,I70,I71)+IF(1=Assumptions!$B$137,I72,0))</f>
        <v>164.752733333333</v>
      </c>
      <c r="J75" s="79" t="n">
        <f aca="false">IF(1&gt;Assumptions!$B$137,0,IF(0&lt;1000,J70,J71)+IF(1=Assumptions!$B$137,J72,0))</f>
        <v>116.3508</v>
      </c>
      <c r="K75" s="79" t="n">
        <f aca="false">IF(1&gt;Assumptions!$B$137,0,IF(0&lt;1000,K70,K71)+IF(1=Assumptions!$B$137,K72,0))</f>
        <v>33.192</v>
      </c>
      <c r="L75" s="79" t="n">
        <f aca="false">IF(1&gt;Assumptions!$B$137,0,IF(0&lt;1000,L70,L71)+IF(1=Assumptions!$B$137,L72,0))</f>
        <v>139.684844444444</v>
      </c>
      <c r="M75" s="79" t="n">
        <f aca="false">IF(1&gt;Assumptions!$B$137,0,IF(0&lt;1000,M70,M71)+IF(1=Assumptions!$B$137,M72,0))</f>
        <v>0</v>
      </c>
      <c r="N75" s="67"/>
    </row>
    <row r="76" customFormat="false" ht="15" hidden="false" customHeight="false" outlineLevel="0" collapsed="false">
      <c r="A76" s="14" t="s">
        <v>449</v>
      </c>
      <c r="B76" s="79" t="n">
        <f aca="false">IF(2&gt;Assumptions!$B$137,0,IF(SUM(B75:B75)&lt;1000,B70,B71)+IF(2=Assumptions!$B$137,B72,0))</f>
        <v>179.5948</v>
      </c>
      <c r="C76" s="79" t="n">
        <f aca="false">IF(2&gt;Assumptions!$B$137,0,IF(SUM(C75:C75)&lt;1000,C70,C71)+IF(2=Assumptions!$B$137,C72,0))</f>
        <v>85.7142857142857</v>
      </c>
      <c r="D76" s="79" t="n">
        <f aca="false">IF(2&gt;Assumptions!$B$137,0,IF(SUM(D75:D75)&lt;1000,D70,D71)+IF(2=Assumptions!$B$137,D72,0))</f>
        <v>135.19912</v>
      </c>
      <c r="E76" s="79" t="n">
        <f aca="false">IF(2&gt;Assumptions!$B$137,0,IF(SUM(E75:E75)&lt;1000,E70,E71)+IF(2=Assumptions!$B$137,E72,0))</f>
        <v>114.5948</v>
      </c>
      <c r="F76" s="79" t="n">
        <f aca="false">IF(2&gt;Assumptions!$B$137,0,IF(SUM(F75:F75)&lt;1000,F70,F71)+IF(2=Assumptions!$B$137,F72,0))</f>
        <v>176.7624</v>
      </c>
      <c r="G76" s="79" t="n">
        <f aca="false">IF(2&gt;Assumptions!$B$137,0,IF(SUM(G75:G75)&lt;1000,G70,G71)+IF(2=Assumptions!$B$137,G72,0))</f>
        <v>75.92896</v>
      </c>
      <c r="H76" s="79" t="n">
        <f aca="false">IF(2&gt;Assumptions!$B$137,0,IF(SUM(H75:H75)&lt;1000,H70,H71)+IF(2=Assumptions!$B$137,H72,0))</f>
        <v>115.4538</v>
      </c>
      <c r="I76" s="79" t="n">
        <f aca="false">IF(2&gt;Assumptions!$B$137,0,IF(SUM(I75:I75)&lt;1000,I70,I71)+IF(2=Assumptions!$B$137,I72,0))</f>
        <v>164.752733333333</v>
      </c>
      <c r="J76" s="79" t="n">
        <f aca="false">IF(2&gt;Assumptions!$B$137,0,IF(SUM(J75:J75)&lt;1000,J70,J71)+IF(2=Assumptions!$B$137,J72,0))</f>
        <v>116.3508</v>
      </c>
      <c r="K76" s="79" t="n">
        <f aca="false">IF(2&gt;Assumptions!$B$137,0,IF(SUM(K75:K75)&lt;1000,K70,K71)+IF(2=Assumptions!$B$137,K72,0))</f>
        <v>33.192</v>
      </c>
      <c r="L76" s="79" t="n">
        <f aca="false">IF(2&gt;Assumptions!$B$137,0,IF(SUM(L75:L75)&lt;1000,L70,L71)+IF(2=Assumptions!$B$137,L72,0))</f>
        <v>139.684844444444</v>
      </c>
      <c r="M76" s="79" t="n">
        <f aca="false">IF(2&gt;Assumptions!$B$137,0,IF(SUM(M75:M75)&lt;1000,M70,M71)+IF(2=Assumptions!$B$137,M72,0))</f>
        <v>0</v>
      </c>
      <c r="N76" s="67"/>
    </row>
    <row r="77" customFormat="false" ht="15" hidden="false" customHeight="false" outlineLevel="0" collapsed="false">
      <c r="A77" s="14" t="s">
        <v>450</v>
      </c>
      <c r="B77" s="79" t="n">
        <f aca="false">IF(3&gt;Assumptions!$B$137,0,IF(SUM(B75:B76)&lt;1000,B70,B71)+IF(3=Assumptions!$B$137,B72,0))</f>
        <v>179.5948</v>
      </c>
      <c r="C77" s="79" t="n">
        <f aca="false">IF(3&gt;Assumptions!$B$137,0,IF(SUM(C75:C76)&lt;1000,C70,C71)+IF(3=Assumptions!$B$137,C72,0))</f>
        <v>85.7142857142857</v>
      </c>
      <c r="D77" s="79" t="n">
        <f aca="false">IF(3&gt;Assumptions!$B$137,0,IF(SUM(D75:D76)&lt;1000,D70,D71)+IF(3=Assumptions!$B$137,D72,0))</f>
        <v>135.19912</v>
      </c>
      <c r="E77" s="79" t="n">
        <f aca="false">IF(3&gt;Assumptions!$B$137,0,IF(SUM(E75:E76)&lt;1000,E70,E71)+IF(3=Assumptions!$B$137,E72,0))</f>
        <v>114.5948</v>
      </c>
      <c r="F77" s="79" t="n">
        <f aca="false">IF(3&gt;Assumptions!$B$137,0,IF(SUM(F75:F76)&lt;1000,F70,F71)+IF(3=Assumptions!$B$137,F72,0))</f>
        <v>176.7624</v>
      </c>
      <c r="G77" s="79" t="n">
        <f aca="false">IF(3&gt;Assumptions!$B$137,0,IF(SUM(G75:G76)&lt;1000,G70,G71)+IF(3=Assumptions!$B$137,G72,0))</f>
        <v>75.92896</v>
      </c>
      <c r="H77" s="79" t="n">
        <f aca="false">IF(3&gt;Assumptions!$B$137,0,IF(SUM(H75:H76)&lt;1000,H70,H71)+IF(3=Assumptions!$B$137,H72,0))</f>
        <v>115.4538</v>
      </c>
      <c r="I77" s="79" t="n">
        <f aca="false">IF(3&gt;Assumptions!$B$137,0,IF(SUM(I75:I76)&lt;1000,I70,I71)+IF(3=Assumptions!$B$137,I72,0))</f>
        <v>164.752733333333</v>
      </c>
      <c r="J77" s="79" t="n">
        <f aca="false">IF(3&gt;Assumptions!$B$137,0,IF(SUM(J75:J76)&lt;1000,J70,J71)+IF(3=Assumptions!$B$137,J72,0))</f>
        <v>116.3508</v>
      </c>
      <c r="K77" s="79" t="n">
        <f aca="false">IF(3&gt;Assumptions!$B$137,0,IF(SUM(K75:K76)&lt;1000,K70,K71)+IF(3=Assumptions!$B$137,K72,0))</f>
        <v>33.192</v>
      </c>
      <c r="L77" s="79" t="n">
        <f aca="false">IF(3&gt;Assumptions!$B$137,0,IF(SUM(L75:L76)&lt;1000,L70,L71)+IF(3=Assumptions!$B$137,L72,0))</f>
        <v>139.684844444444</v>
      </c>
      <c r="M77" s="79" t="n">
        <f aca="false">IF(3&gt;Assumptions!$B$137,0,IF(SUM(M75:M76)&lt;1000,M70,M71)+IF(3=Assumptions!$B$137,M72,0))</f>
        <v>0</v>
      </c>
      <c r="N77" s="67"/>
    </row>
    <row r="78" customFormat="false" ht="15" hidden="false" customHeight="false" outlineLevel="0" collapsed="false">
      <c r="A78" s="14" t="s">
        <v>451</v>
      </c>
      <c r="B78" s="79" t="n">
        <f aca="false">IF(4&gt;Assumptions!$B$137,0,IF(SUM(B75:B77)&lt;1000,B70,B71)+IF(4=Assumptions!$B$137,B72,0))</f>
        <v>179.5948</v>
      </c>
      <c r="C78" s="79" t="n">
        <f aca="false">IF(4&gt;Assumptions!$B$137,0,IF(SUM(C75:C77)&lt;1000,C70,C71)+IF(4=Assumptions!$B$137,C72,0))</f>
        <v>85.7142857142857</v>
      </c>
      <c r="D78" s="79" t="n">
        <f aca="false">IF(4&gt;Assumptions!$B$137,0,IF(SUM(D75:D77)&lt;1000,D70,D71)+IF(4=Assumptions!$B$137,D72,0))</f>
        <v>135.19912</v>
      </c>
      <c r="E78" s="79" t="n">
        <f aca="false">IF(4&gt;Assumptions!$B$137,0,IF(SUM(E75:E77)&lt;1000,E70,E71)+IF(4=Assumptions!$B$137,E72,0))</f>
        <v>114.5948</v>
      </c>
      <c r="F78" s="79" t="n">
        <f aca="false">IF(4&gt;Assumptions!$B$137,0,IF(SUM(F75:F77)&lt;1000,F70,F71)+IF(4=Assumptions!$B$137,F72,0))</f>
        <v>176.7624</v>
      </c>
      <c r="G78" s="79" t="n">
        <f aca="false">IF(4&gt;Assumptions!$B$137,0,IF(SUM(G75:G77)&lt;1000,G70,G71)+IF(4=Assumptions!$B$137,G72,0))</f>
        <v>75.92896</v>
      </c>
      <c r="H78" s="79" t="n">
        <f aca="false">IF(4&gt;Assumptions!$B$137,0,IF(SUM(H75:H77)&lt;1000,H70,H71)+IF(4=Assumptions!$B$137,H72,0))</f>
        <v>115.4538</v>
      </c>
      <c r="I78" s="79" t="n">
        <f aca="false">IF(4&gt;Assumptions!$B$137,0,IF(SUM(I75:I77)&lt;1000,I70,I71)+IF(4=Assumptions!$B$137,I72,0))</f>
        <v>164.752733333333</v>
      </c>
      <c r="J78" s="79" t="n">
        <f aca="false">IF(4&gt;Assumptions!$B$137,0,IF(SUM(J75:J77)&lt;1000,J70,J71)+IF(4=Assumptions!$B$137,J72,0))</f>
        <v>116.3508</v>
      </c>
      <c r="K78" s="79" t="n">
        <f aca="false">IF(4&gt;Assumptions!$B$137,0,IF(SUM(K75:K77)&lt;1000,K70,K71)+IF(4=Assumptions!$B$137,K72,0))</f>
        <v>33.192</v>
      </c>
      <c r="L78" s="79" t="n">
        <f aca="false">IF(4&gt;Assumptions!$B$137,0,IF(SUM(L75:L77)&lt;1000,L70,L71)+IF(4=Assumptions!$B$137,L72,0))</f>
        <v>139.684844444444</v>
      </c>
      <c r="M78" s="79" t="n">
        <f aca="false">IF(4&gt;Assumptions!$B$137,0,IF(SUM(M75:M77)&lt;1000,M70,M71)+IF(4=Assumptions!$B$137,M72,0))</f>
        <v>0</v>
      </c>
      <c r="N78" s="67"/>
    </row>
    <row r="79" customFormat="false" ht="15" hidden="false" customHeight="false" outlineLevel="0" collapsed="false">
      <c r="A79" s="14" t="s">
        <v>452</v>
      </c>
      <c r="B79" s="79" t="n">
        <f aca="false">IF(5&gt;Assumptions!$B$137,0,IF(SUM(B75:B78)&lt;1000,B70,B71)+IF(5=Assumptions!$B$137,B72,0))</f>
        <v>179.5948</v>
      </c>
      <c r="C79" s="79" t="n">
        <f aca="false">IF(5&gt;Assumptions!$B$137,0,IF(SUM(C75:C78)&lt;1000,C70,C71)+IF(5=Assumptions!$B$137,C72,0))</f>
        <v>85.7142857142857</v>
      </c>
      <c r="D79" s="79" t="n">
        <f aca="false">IF(5&gt;Assumptions!$B$137,0,IF(SUM(D75:D78)&lt;1000,D70,D71)+IF(5=Assumptions!$B$137,D72,0))</f>
        <v>135.19912</v>
      </c>
      <c r="E79" s="79" t="n">
        <f aca="false">IF(5&gt;Assumptions!$B$137,0,IF(SUM(E75:E78)&lt;1000,E70,E71)+IF(5=Assumptions!$B$137,E72,0))</f>
        <v>114.5948</v>
      </c>
      <c r="F79" s="79" t="n">
        <f aca="false">IF(5&gt;Assumptions!$B$137,0,IF(SUM(F75:F78)&lt;1000,F70,F71)+IF(5=Assumptions!$B$137,F72,0))</f>
        <v>176.7624</v>
      </c>
      <c r="G79" s="79" t="n">
        <f aca="false">IF(5&gt;Assumptions!$B$137,0,IF(SUM(G75:G78)&lt;1000,G70,G71)+IF(5=Assumptions!$B$137,G72,0))</f>
        <v>75.92896</v>
      </c>
      <c r="H79" s="79" t="n">
        <f aca="false">IF(5&gt;Assumptions!$B$137,0,IF(SUM(H75:H78)&lt;1000,H70,H71)+IF(5=Assumptions!$B$137,H72,0))</f>
        <v>115.4538</v>
      </c>
      <c r="I79" s="79" t="n">
        <f aca="false">IF(5&gt;Assumptions!$B$137,0,IF(SUM(I75:I78)&lt;1000,I70,I71)+IF(5=Assumptions!$B$137,I72,0))</f>
        <v>164.752733333333</v>
      </c>
      <c r="J79" s="79" t="n">
        <f aca="false">IF(5&gt;Assumptions!$B$137,0,IF(SUM(J75:J78)&lt;1000,J70,J71)+IF(5=Assumptions!$B$137,J72,0))</f>
        <v>116.3508</v>
      </c>
      <c r="K79" s="79" t="n">
        <f aca="false">IF(5&gt;Assumptions!$B$137,0,IF(SUM(K75:K78)&lt;1000,K70,K71)+IF(5=Assumptions!$B$137,K72,0))</f>
        <v>33.192</v>
      </c>
      <c r="L79" s="79" t="n">
        <f aca="false">IF(5&gt;Assumptions!$B$137,0,IF(SUM(L75:L78)&lt;1000,L70,L71)+IF(5=Assumptions!$B$137,L72,0))</f>
        <v>139.684844444444</v>
      </c>
      <c r="M79" s="79" t="n">
        <f aca="false">IF(5&gt;Assumptions!$B$137,0,IF(SUM(M75:M78)&lt;1000,M70,M71)+IF(5=Assumptions!$B$137,M72,0))</f>
        <v>0</v>
      </c>
      <c r="N79" s="67"/>
    </row>
    <row r="80" customFormat="false" ht="15" hidden="false" customHeight="false" outlineLevel="0" collapsed="false">
      <c r="A80" s="14" t="s">
        <v>589</v>
      </c>
      <c r="B80" s="79" t="n">
        <f aca="false">IF(6&gt;Assumptions!$B$137,0,IF(SUM(B75:B79)&lt;1000,B70,B71)+IF(6=Assumptions!$B$137,B72,0))</f>
        <v>179.5948</v>
      </c>
      <c r="C80" s="79" t="n">
        <f aca="false">IF(6&gt;Assumptions!$B$137,0,IF(SUM(C75:C79)&lt;1000,C70,C71)+IF(6=Assumptions!$B$137,C72,0))</f>
        <v>85.7142857142857</v>
      </c>
      <c r="D80" s="79" t="n">
        <f aca="false">IF(6&gt;Assumptions!$B$137,0,IF(SUM(D75:D79)&lt;1000,D70,D71)+IF(6=Assumptions!$B$137,D72,0))</f>
        <v>135.19912</v>
      </c>
      <c r="E80" s="79" t="n">
        <f aca="false">IF(6&gt;Assumptions!$B$137,0,IF(SUM(E75:E79)&lt;1000,E70,E71)+IF(6=Assumptions!$B$137,E72,0))</f>
        <v>114.5948</v>
      </c>
      <c r="F80" s="79" t="n">
        <f aca="false">IF(6&gt;Assumptions!$B$137,0,IF(SUM(F75:F79)&lt;1000,F70,F71)+IF(6=Assumptions!$B$137,F72,0))</f>
        <v>176.7624</v>
      </c>
      <c r="G80" s="79" t="n">
        <f aca="false">IF(6&gt;Assumptions!$B$137,0,IF(SUM(G75:G79)&lt;1000,G70,G71)+IF(6=Assumptions!$B$137,G72,0))</f>
        <v>75.92896</v>
      </c>
      <c r="H80" s="79" t="n">
        <f aca="false">IF(6&gt;Assumptions!$B$137,0,IF(SUM(H75:H79)&lt;1000,H70,H71)+IF(6=Assumptions!$B$137,H72,0))</f>
        <v>115.4538</v>
      </c>
      <c r="I80" s="79" t="n">
        <f aca="false">IF(6&gt;Assumptions!$B$137,0,IF(SUM(I75:I79)&lt;1000,I70,I71)+IF(6=Assumptions!$B$137,I72,0))</f>
        <v>164.752733333333</v>
      </c>
      <c r="J80" s="79" t="n">
        <f aca="false">IF(6&gt;Assumptions!$B$137,0,IF(SUM(J75:J79)&lt;1000,J70,J71)+IF(6=Assumptions!$B$137,J72,0))</f>
        <v>116.3508</v>
      </c>
      <c r="K80" s="79" t="n">
        <f aca="false">IF(6&gt;Assumptions!$B$137,0,IF(SUM(K75:K79)&lt;1000,K70,K71)+IF(6=Assumptions!$B$137,K72,0))</f>
        <v>33.192</v>
      </c>
      <c r="L80" s="79" t="n">
        <f aca="false">IF(6&gt;Assumptions!$B$137,0,IF(SUM(L75:L79)&lt;1000,L70,L71)+IF(6=Assumptions!$B$137,L72,0))</f>
        <v>139.684844444444</v>
      </c>
      <c r="M80" s="79" t="n">
        <f aca="false">IF(6&gt;Assumptions!$B$137,0,IF(SUM(M75:M79)&lt;1000,M70,M71)+IF(6=Assumptions!$B$137,M72,0))</f>
        <v>0</v>
      </c>
      <c r="N80" s="67"/>
    </row>
    <row r="81" customFormat="false" ht="15" hidden="false" customHeight="false" outlineLevel="0" collapsed="false">
      <c r="A81" s="14" t="s">
        <v>590</v>
      </c>
      <c r="B81" s="79" t="n">
        <f aca="false">IF(7&gt;Assumptions!$B$137,0,IF(SUM(B75:B80)&lt;1000,B70,B71)+IF(7=Assumptions!$B$137,B72,0))</f>
        <v>209.527266666667</v>
      </c>
      <c r="C81" s="79" t="n">
        <f aca="false">IF(7&gt;Assumptions!$B$137,0,IF(SUM(C75:C80)&lt;1000,C70,C71)+IF(7=Assumptions!$B$137,C72,0))</f>
        <v>85.7142857142857</v>
      </c>
      <c r="D81" s="79" t="n">
        <f aca="false">IF(7&gt;Assumptions!$B$137,0,IF(SUM(D75:D80)&lt;1000,D70,D71)+IF(7=Assumptions!$B$137,D72,0))</f>
        <v>187.776555555556</v>
      </c>
      <c r="E81" s="79" t="n">
        <f aca="false">IF(7&gt;Assumptions!$B$137,0,IF(SUM(E75:E80)&lt;1000,E70,E71)+IF(7=Assumptions!$B$137,E72,0))</f>
        <v>159.159444444444</v>
      </c>
      <c r="F81" s="79" t="n">
        <f aca="false">IF(7&gt;Assumptions!$B$137,0,IF(SUM(F75:F80)&lt;1000,F70,F71)+IF(7=Assumptions!$B$137,F72,0))</f>
        <v>201.28362</v>
      </c>
      <c r="G81" s="79" t="n">
        <f aca="false">IF(7&gt;Assumptions!$B$137,0,IF(SUM(G75:G80)&lt;1000,G70,G71)+IF(7=Assumptions!$B$137,G72,0))</f>
        <v>105.456888888889</v>
      </c>
      <c r="H81" s="79" t="n">
        <f aca="false">IF(7&gt;Assumptions!$B$137,0,IF(SUM(H75:H80)&lt;1000,H70,H71)+IF(7=Assumptions!$B$137,H72,0))</f>
        <v>160.3525</v>
      </c>
      <c r="I81" s="79" t="n">
        <f aca="false">IF(7&gt;Assumptions!$B$137,0,IF(SUM(I75:I80)&lt;1000,I70,I71)+IF(7=Assumptions!$B$137,I72,0))</f>
        <v>176.971388888889</v>
      </c>
      <c r="J81" s="79" t="n">
        <f aca="false">IF(7&gt;Assumptions!$B$137,0,IF(SUM(J75:J80)&lt;1000,J70,J71)+IF(7=Assumptions!$B$137,J72,0))</f>
        <v>161.598333333333</v>
      </c>
      <c r="K81" s="79" t="n">
        <f aca="false">IF(7&gt;Assumptions!$B$137,0,IF(SUM(K75:K80)&lt;1000,K70,K71)+IF(7=Assumptions!$B$137,K72,0))</f>
        <v>46.1</v>
      </c>
      <c r="L81" s="79" t="n">
        <f aca="false">IF(7&gt;Assumptions!$B$137,0,IF(SUM(L75:L80)&lt;1000,L70,L71)+IF(7=Assumptions!$B$137,L72,0))</f>
        <v>209.527266666667</v>
      </c>
      <c r="M81" s="79" t="n">
        <f aca="false">IF(7&gt;Assumptions!$B$137,0,IF(SUM(M75:M80)&lt;1000,M70,M71)+IF(7=Assumptions!$B$137,M72,0))</f>
        <v>0</v>
      </c>
      <c r="N81" s="67"/>
    </row>
    <row r="82" customFormat="false" ht="15" hidden="false" customHeight="false" outlineLevel="0" collapsed="false">
      <c r="A82" s="14" t="s">
        <v>591</v>
      </c>
      <c r="B82" s="79" t="n">
        <f aca="false">IF(8&gt;Assumptions!$B$137,0,IF(SUM(B75:B81)&lt;1000,B70,B71)+IF(8=Assumptions!$B$137,B72,0))</f>
        <v>0</v>
      </c>
      <c r="C82" s="79" t="n">
        <f aca="false">IF(8&gt;Assumptions!$B$137,0,IF(SUM(C75:C81)&lt;1000,C70,C71)+IF(8=Assumptions!$B$137,C72,0))</f>
        <v>0</v>
      </c>
      <c r="D82" s="79" t="n">
        <f aca="false">IF(8&gt;Assumptions!$B$137,0,IF(SUM(D75:D81)&lt;1000,D70,D71)+IF(8=Assumptions!$B$137,D72,0))</f>
        <v>0</v>
      </c>
      <c r="E82" s="79" t="n">
        <f aca="false">IF(8&gt;Assumptions!$B$137,0,IF(SUM(E75:E81)&lt;1000,E70,E71)+IF(8=Assumptions!$B$137,E72,0))</f>
        <v>0</v>
      </c>
      <c r="F82" s="79" t="n">
        <f aca="false">IF(8&gt;Assumptions!$B$137,0,IF(SUM(F75:F81)&lt;1000,F70,F71)+IF(8=Assumptions!$B$137,F72,0))</f>
        <v>0</v>
      </c>
      <c r="G82" s="79" t="n">
        <f aca="false">IF(8&gt;Assumptions!$B$137,0,IF(SUM(G75:G81)&lt;1000,G70,G71)+IF(8=Assumptions!$B$137,G72,0))</f>
        <v>0</v>
      </c>
      <c r="H82" s="79" t="n">
        <f aca="false">IF(8&gt;Assumptions!$B$137,0,IF(SUM(H75:H81)&lt;1000,H70,H71)+IF(8=Assumptions!$B$137,H72,0))</f>
        <v>0</v>
      </c>
      <c r="I82" s="79" t="n">
        <f aca="false">IF(8&gt;Assumptions!$B$137,0,IF(SUM(I75:I81)&lt;1000,I70,I71)+IF(8=Assumptions!$B$137,I72,0))</f>
        <v>0</v>
      </c>
      <c r="J82" s="79" t="n">
        <f aca="false">IF(8&gt;Assumptions!$B$137,0,IF(SUM(J75:J81)&lt;1000,J70,J71)+IF(8=Assumptions!$B$137,J72,0))</f>
        <v>0</v>
      </c>
      <c r="K82" s="79" t="n">
        <f aca="false">IF(8&gt;Assumptions!$B$137,0,IF(SUM(K75:K81)&lt;1000,K70,K71)+IF(8=Assumptions!$B$137,K72,0))</f>
        <v>0</v>
      </c>
      <c r="L82" s="79" t="n">
        <f aca="false">IF(8&gt;Assumptions!$B$137,0,IF(SUM(L75:L81)&lt;1000,L70,L71)+IF(8=Assumptions!$B$137,L72,0))</f>
        <v>0</v>
      </c>
      <c r="M82" s="79" t="n">
        <f aca="false">IF(8&gt;Assumptions!$B$137,0,IF(SUM(M75:M81)&lt;1000,M70,M71)+IF(8=Assumptions!$B$137,M72,0))</f>
        <v>0</v>
      </c>
      <c r="N82" s="67"/>
    </row>
    <row r="83" customFormat="false" ht="15" hidden="false" customHeight="false" outlineLevel="0" collapsed="false">
      <c r="A83" s="14" t="s">
        <v>592</v>
      </c>
      <c r="B83" s="79" t="n">
        <f aca="false">IF(9&gt;Assumptions!$B$137,0,IF(SUM(B75:B82)&lt;1000,B70,B71)+IF(9=Assumptions!$B$137,B72,0))</f>
        <v>0</v>
      </c>
      <c r="C83" s="79" t="n">
        <f aca="false">IF(9&gt;Assumptions!$B$137,0,IF(SUM(C75:C82)&lt;1000,C70,C71)+IF(9=Assumptions!$B$137,C72,0))</f>
        <v>0</v>
      </c>
      <c r="D83" s="79" t="n">
        <f aca="false">IF(9&gt;Assumptions!$B$137,0,IF(SUM(D75:D82)&lt;1000,D70,D71)+IF(9=Assumptions!$B$137,D72,0))</f>
        <v>0</v>
      </c>
      <c r="E83" s="79" t="n">
        <f aca="false">IF(9&gt;Assumptions!$B$137,0,IF(SUM(E75:E82)&lt;1000,E70,E71)+IF(9=Assumptions!$B$137,E72,0))</f>
        <v>0</v>
      </c>
      <c r="F83" s="79" t="n">
        <f aca="false">IF(9&gt;Assumptions!$B$137,0,IF(SUM(F75:F82)&lt;1000,F70,F71)+IF(9=Assumptions!$B$137,F72,0))</f>
        <v>0</v>
      </c>
      <c r="G83" s="79" t="n">
        <f aca="false">IF(9&gt;Assumptions!$B$137,0,IF(SUM(G75:G82)&lt;1000,G70,G71)+IF(9=Assumptions!$B$137,G72,0))</f>
        <v>0</v>
      </c>
      <c r="H83" s="79" t="n">
        <f aca="false">IF(9&gt;Assumptions!$B$137,0,IF(SUM(H75:H82)&lt;1000,H70,H71)+IF(9=Assumptions!$B$137,H72,0))</f>
        <v>0</v>
      </c>
      <c r="I83" s="79" t="n">
        <f aca="false">IF(9&gt;Assumptions!$B$137,0,IF(SUM(I75:I82)&lt;1000,I70,I71)+IF(9=Assumptions!$B$137,I72,0))</f>
        <v>0</v>
      </c>
      <c r="J83" s="79" t="n">
        <f aca="false">IF(9&gt;Assumptions!$B$137,0,IF(SUM(J75:J82)&lt;1000,J70,J71)+IF(9=Assumptions!$B$137,J72,0))</f>
        <v>0</v>
      </c>
      <c r="K83" s="79" t="n">
        <f aca="false">IF(9&gt;Assumptions!$B$137,0,IF(SUM(K75:K82)&lt;1000,K70,K71)+IF(9=Assumptions!$B$137,K72,0))</f>
        <v>0</v>
      </c>
      <c r="L83" s="79" t="n">
        <f aca="false">IF(9&gt;Assumptions!$B$137,0,IF(SUM(L75:L82)&lt;1000,L70,L71)+IF(9=Assumptions!$B$137,L72,0))</f>
        <v>0</v>
      </c>
      <c r="M83" s="79" t="n">
        <f aca="false">IF(9&gt;Assumptions!$B$137,0,IF(SUM(M75:M82)&lt;1000,M70,M71)+IF(9=Assumptions!$B$137,M72,0))</f>
        <v>0</v>
      </c>
      <c r="N83" s="67"/>
    </row>
    <row r="84" customFormat="false" ht="15" hidden="false" customHeight="false" outlineLevel="0" collapsed="false">
      <c r="A84" s="14" t="s">
        <v>593</v>
      </c>
      <c r="B84" s="79" t="n">
        <f aca="false">IF(10&gt;Assumptions!$B$137,0,IF(SUM(B75:B83)&lt;1000,B70,B71)+IF(10=Assumptions!$B$137,B72,0))</f>
        <v>0</v>
      </c>
      <c r="C84" s="79" t="n">
        <f aca="false">IF(10&gt;Assumptions!$B$137,0,IF(SUM(C75:C83)&lt;1000,C70,C71)+IF(10=Assumptions!$B$137,C72,0))</f>
        <v>0</v>
      </c>
      <c r="D84" s="79" t="n">
        <f aca="false">IF(10&gt;Assumptions!$B$137,0,IF(SUM(D75:D83)&lt;1000,D70,D71)+IF(10=Assumptions!$B$137,D72,0))</f>
        <v>0</v>
      </c>
      <c r="E84" s="79" t="n">
        <f aca="false">IF(10&gt;Assumptions!$B$137,0,IF(SUM(E75:E83)&lt;1000,E70,E71)+IF(10=Assumptions!$B$137,E72,0))</f>
        <v>0</v>
      </c>
      <c r="F84" s="79" t="n">
        <f aca="false">IF(10&gt;Assumptions!$B$137,0,IF(SUM(F75:F83)&lt;1000,F70,F71)+IF(10=Assumptions!$B$137,F72,0))</f>
        <v>0</v>
      </c>
      <c r="G84" s="79" t="n">
        <f aca="false">IF(10&gt;Assumptions!$B$137,0,IF(SUM(G75:G83)&lt;1000,G70,G71)+IF(10=Assumptions!$B$137,G72,0))</f>
        <v>0</v>
      </c>
      <c r="H84" s="79" t="n">
        <f aca="false">IF(10&gt;Assumptions!$B$137,0,IF(SUM(H75:H83)&lt;1000,H70,H71)+IF(10=Assumptions!$B$137,H72,0))</f>
        <v>0</v>
      </c>
      <c r="I84" s="79" t="n">
        <f aca="false">IF(10&gt;Assumptions!$B$137,0,IF(SUM(I75:I83)&lt;1000,I70,I71)+IF(10=Assumptions!$B$137,I72,0))</f>
        <v>0</v>
      </c>
      <c r="J84" s="79" t="n">
        <f aca="false">IF(10&gt;Assumptions!$B$137,0,IF(SUM(J75:J83)&lt;1000,J70,J71)+IF(10=Assumptions!$B$137,J72,0))</f>
        <v>0</v>
      </c>
      <c r="K84" s="79" t="n">
        <f aca="false">IF(10&gt;Assumptions!$B$137,0,IF(SUM(K75:K83)&lt;1000,K70,K71)+IF(10=Assumptions!$B$137,K72,0))</f>
        <v>0</v>
      </c>
      <c r="L84" s="79" t="n">
        <f aca="false">IF(10&gt;Assumptions!$B$137,0,IF(SUM(L75:L83)&lt;1000,L70,L71)+IF(10=Assumptions!$B$137,L72,0))</f>
        <v>0</v>
      </c>
      <c r="M84" s="79" t="n">
        <f aca="false">IF(10&gt;Assumptions!$B$137,0,IF(SUM(M75:M83)&lt;1000,M70,M71)+IF(10=Assumptions!$B$137,M72,0))</f>
        <v>0</v>
      </c>
      <c r="N84" s="67"/>
    </row>
    <row r="85" customFormat="false" ht="15" hidden="false" customHeight="false" outlineLevel="0" collapsed="false">
      <c r="A85" s="22" t="s">
        <v>594</v>
      </c>
      <c r="B85" s="81" t="n">
        <f aca="false">SUM(B75:B84)</f>
        <v>1287.09606666667</v>
      </c>
      <c r="C85" s="81" t="n">
        <f aca="false">SUM(C75:C84)</f>
        <v>600</v>
      </c>
      <c r="D85" s="81" t="n">
        <f aca="false">SUM(D75:D84)</f>
        <v>998.971275555556</v>
      </c>
      <c r="E85" s="81" t="n">
        <f aca="false">SUM(E75:E84)</f>
        <v>846.728244444445</v>
      </c>
      <c r="F85" s="81" t="n">
        <f aca="false">SUM(F75:F84)</f>
        <v>1261.85802</v>
      </c>
      <c r="G85" s="81" t="n">
        <f aca="false">SUM(G75:G84)</f>
        <v>561.030648888889</v>
      </c>
      <c r="H85" s="81" t="n">
        <f aca="false">SUM(H75:H84)</f>
        <v>853.0753</v>
      </c>
      <c r="I85" s="81" t="n">
        <f aca="false">SUM(I75:I84)</f>
        <v>1165.48778888889</v>
      </c>
      <c r="J85" s="81" t="n">
        <f aca="false">SUM(J75:J84)</f>
        <v>859.703133333333</v>
      </c>
      <c r="K85" s="81" t="n">
        <f aca="false">SUM(K75:K84)</f>
        <v>245.252</v>
      </c>
      <c r="L85" s="81" t="n">
        <f aca="false">SUM(L75:L84)</f>
        <v>1047.63633333333</v>
      </c>
      <c r="M85" s="81" t="n">
        <f aca="false">SUM(M75:M84)</f>
        <v>0</v>
      </c>
      <c r="N85" s="67" t="s">
        <v>70</v>
      </c>
    </row>
    <row r="86" customFormat="false" ht="15" hidden="false" customHeight="false" outlineLevel="0" collapsed="false">
      <c r="A86" s="22" t="s">
        <v>595</v>
      </c>
      <c r="B86" s="82" t="n">
        <f aca="false">B85/1000</f>
        <v>1.28709606666667</v>
      </c>
      <c r="C86" s="82" t="n">
        <f aca="false">C85/1000</f>
        <v>0.6</v>
      </c>
      <c r="D86" s="82" t="n">
        <f aca="false">D85/1000</f>
        <v>0.998971275555556</v>
      </c>
      <c r="E86" s="82" t="n">
        <f aca="false">E85/1000</f>
        <v>0.846728244444445</v>
      </c>
      <c r="F86" s="82" t="n">
        <f aca="false">F85/1000</f>
        <v>1.26185802</v>
      </c>
      <c r="G86" s="82" t="n">
        <f aca="false">G85/1000</f>
        <v>0.561030648888889</v>
      </c>
      <c r="H86" s="82" t="n">
        <f aca="false">H85/1000</f>
        <v>0.8530753</v>
      </c>
      <c r="I86" s="82" t="n">
        <f aca="false">I85/1000</f>
        <v>1.16548778888889</v>
      </c>
      <c r="J86" s="82" t="n">
        <f aca="false">J85/1000</f>
        <v>0.859703133333333</v>
      </c>
      <c r="K86" s="82" t="n">
        <f aca="false">K85/1000</f>
        <v>0.245252</v>
      </c>
      <c r="L86" s="82" t="n">
        <f aca="false">L85/1000</f>
        <v>1.04763633333333</v>
      </c>
      <c r="M86" s="82" t="n">
        <f aca="false">M85/1000</f>
        <v>0</v>
      </c>
      <c r="N86" s="67"/>
    </row>
    <row r="87" customFormat="false" ht="15" hidden="false" customHeight="false" outlineLevel="0" collapsed="false">
      <c r="A87" s="22" t="s">
        <v>596</v>
      </c>
      <c r="B87" s="82" t="n">
        <f aca="false">MAX(0,1-B86)</f>
        <v>0</v>
      </c>
      <c r="C87" s="82" t="n">
        <f aca="false">MAX(0,1-C86)</f>
        <v>0.4</v>
      </c>
      <c r="D87" s="82" t="n">
        <f aca="false">MAX(0,1-D86)</f>
        <v>0.00102872444444446</v>
      </c>
      <c r="E87" s="82" t="n">
        <f aca="false">MAX(0,1-E86)</f>
        <v>0.153271755555556</v>
      </c>
      <c r="F87" s="82" t="n">
        <f aca="false">MAX(0,1-F86)</f>
        <v>0</v>
      </c>
      <c r="G87" s="82" t="n">
        <f aca="false">MAX(0,1-G86)</f>
        <v>0.438969351111111</v>
      </c>
      <c r="H87" s="82" t="n">
        <f aca="false">MAX(0,1-H86)</f>
        <v>0.1469247</v>
      </c>
      <c r="I87" s="82" t="n">
        <f aca="false">MAX(0,1-I86)</f>
        <v>0</v>
      </c>
      <c r="J87" s="82" t="n">
        <f aca="false">MAX(0,1-J86)</f>
        <v>0.140296866666667</v>
      </c>
      <c r="K87" s="82" t="n">
        <f aca="false">MAX(0,1-K86)</f>
        <v>0.754748</v>
      </c>
      <c r="L87" s="82" t="n">
        <f aca="false">MAX(0,1-L86)</f>
        <v>0</v>
      </c>
      <c r="M87" s="82" t="n">
        <f aca="false">MAX(0,1-M86)</f>
        <v>1</v>
      </c>
      <c r="N87" s="67"/>
    </row>
    <row r="88" customFormat="false" ht="15" hidden="false" customHeight="false" outlineLevel="0" collapsed="false">
      <c r="A88" s="22" t="s">
        <v>597</v>
      </c>
      <c r="B88" s="83" t="n">
        <f aca="false">IFERROR(IRR(B74:B84),-1)</f>
        <v>0.0661872679910144</v>
      </c>
      <c r="C88" s="83" t="n">
        <f aca="false">IFERROR(IRR(C74:C84),-1)</f>
        <v>-0.113514765808182</v>
      </c>
      <c r="D88" s="83" t="n">
        <f aca="false">IFERROR(IRR(D74:D84),-1)</f>
        <v>-0.000247480237400345</v>
      </c>
      <c r="E88" s="83" t="n">
        <f aca="false">IFERROR(IRR(E74:E84),-1)</f>
        <v>-0.0384722923217527</v>
      </c>
      <c r="F88" s="83" t="n">
        <f aca="false">IFERROR(IRR(F74:F84),-1)</f>
        <v>0.0608493579790483</v>
      </c>
      <c r="G88" s="83" t="n">
        <f aca="false">IFERROR(IRR(G74:G84),-1)</f>
        <v>-0.122302072445611</v>
      </c>
      <c r="H88" s="83" t="n">
        <f aca="false">IFERROR(IRR(H74:H84),-1)</f>
        <v>-0.0368085963066771</v>
      </c>
      <c r="I88" s="83" t="n">
        <f aca="false">IFERROR(IRR(I74:I84),-1)</f>
        <v>0.0395003048376207</v>
      </c>
      <c r="J88" s="83" t="n">
        <f aca="false">IFERROR(IRR(J74:J84),-1)</f>
        <v>-0.035078459139586</v>
      </c>
      <c r="K88" s="83" t="n">
        <f aca="false">IFERROR(IRR(K74:K84),-1)</f>
        <v>-1</v>
      </c>
      <c r="L88" s="83" t="n">
        <f aca="false">IFERROR(IRR(L74:L84),-1)</f>
        <v>0.0112059536885014</v>
      </c>
      <c r="M88" s="83" t="n">
        <f aca="false">IFERROR(IRR(M74:M84),-1)</f>
        <v>-1</v>
      </c>
      <c r="N88" s="67"/>
    </row>
    <row r="89" customFormat="false" ht="15" hidden="false" customHeight="false" outlineLevel="0" collapsed="false">
      <c r="A89" s="14" t="s">
        <v>598</v>
      </c>
      <c r="B89" s="50" t="n">
        <f aca="false">B70/1000</f>
        <v>0.1795948</v>
      </c>
      <c r="C89" s="50" t="n">
        <f aca="false">C70/1000</f>
        <v>0.0857142857142857</v>
      </c>
      <c r="D89" s="50" t="n">
        <f aca="false">D70/1000</f>
        <v>0.13519912</v>
      </c>
      <c r="E89" s="50" t="n">
        <f aca="false">E70/1000</f>
        <v>0.1145948</v>
      </c>
      <c r="F89" s="50" t="n">
        <f aca="false">F70/1000</f>
        <v>0.1767624</v>
      </c>
      <c r="G89" s="50" t="n">
        <f aca="false">G70/1000</f>
        <v>0.07592896</v>
      </c>
      <c r="H89" s="50" t="n">
        <f aca="false">H70/1000</f>
        <v>0.1154538</v>
      </c>
      <c r="I89" s="50" t="n">
        <f aca="false">I70/1000</f>
        <v>0.164752733333333</v>
      </c>
      <c r="J89" s="50" t="n">
        <f aca="false">J70/1000</f>
        <v>0.1163508</v>
      </c>
      <c r="K89" s="50" t="n">
        <f aca="false">K70/1000</f>
        <v>0.033192</v>
      </c>
      <c r="L89" s="50" t="n">
        <f aca="false">L70/1000</f>
        <v>0.139684844444444</v>
      </c>
      <c r="M89" s="50" t="n">
        <f aca="false">M70/1000</f>
        <v>0</v>
      </c>
      <c r="N89" s="67"/>
    </row>
    <row r="90" customFormat="false" ht="15" hidden="false" customHeight="false" outlineLevel="0" collapsed="false">
      <c r="A90" s="40" t="s">
        <v>599</v>
      </c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</row>
    <row r="91" customFormat="false" ht="15" hidden="false" customHeight="false" outlineLevel="0" collapsed="false">
      <c r="A91" s="14" t="s">
        <v>600</v>
      </c>
      <c r="B91" s="53" t="n">
        <f aca="false">(1-Assumptions!$B$135)*B58-B66</f>
        <v>0</v>
      </c>
      <c r="C91" s="53" t="n">
        <f aca="false">(1-Assumptions!$B$135)*C58-C66</f>
        <v>-990</v>
      </c>
      <c r="D91" s="53" t="n">
        <f aca="false">(1-Assumptions!$B$135)*D58-D66</f>
        <v>0</v>
      </c>
      <c r="E91" s="53" t="n">
        <f aca="false">(1-Assumptions!$B$135)*E58-E66</f>
        <v>0</v>
      </c>
      <c r="F91" s="53" t="n">
        <f aca="false">(1-Assumptions!$B$135)*F58-F66</f>
        <v>-220.040469</v>
      </c>
      <c r="G91" s="53" t="n">
        <f aca="false">(1-Assumptions!$B$135)*G58-G66</f>
        <v>0</v>
      </c>
      <c r="H91" s="53" t="n">
        <f aca="false">(1-Assumptions!$B$135)*H58-H66</f>
        <v>0</v>
      </c>
      <c r="I91" s="53" t="n">
        <f aca="false">(1-Assumptions!$B$135)*I58-I66</f>
        <v>-990</v>
      </c>
      <c r="J91" s="53" t="n">
        <f aca="false">(1-Assumptions!$B$135)*J58-J66</f>
        <v>0</v>
      </c>
      <c r="K91" s="53" t="n">
        <f aca="false">(1-Assumptions!$B$135)*K58-K66</f>
        <v>0</v>
      </c>
      <c r="L91" s="53" t="n">
        <f aca="false">(1-0)*L58-L66</f>
        <v>448.987</v>
      </c>
      <c r="M91" s="53" t="n">
        <f aca="false">(1-Assumptions!$B$135)*M58-M66</f>
        <v>0</v>
      </c>
      <c r="N91" s="67" t="s">
        <v>87</v>
      </c>
    </row>
    <row r="92" customFormat="false" ht="15" hidden="false" customHeight="false" outlineLevel="0" collapsed="false">
      <c r="A92" s="14" t="s">
        <v>601</v>
      </c>
      <c r="B92" s="53" t="n">
        <f aca="false">B58-B66</f>
        <v>448.987</v>
      </c>
      <c r="C92" s="53" t="n">
        <f aca="false">C58-C66</f>
        <v>-990</v>
      </c>
      <c r="D92" s="53" t="n">
        <f aca="false">D58-D66</f>
        <v>337.9978</v>
      </c>
      <c r="E92" s="53" t="n">
        <f aca="false">E58-E66</f>
        <v>286.487</v>
      </c>
      <c r="F92" s="53" t="n">
        <f aca="false">F58-F66</f>
        <v>147.777831</v>
      </c>
      <c r="G92" s="53" t="n">
        <f aca="false">G58-G66</f>
        <v>189.8224</v>
      </c>
      <c r="H92" s="53" t="n">
        <f aca="false">H58-H66</f>
        <v>448.987</v>
      </c>
      <c r="I92" s="53" t="n">
        <f aca="false">I58-I66</f>
        <v>-911.4515</v>
      </c>
      <c r="J92" s="53" t="n">
        <f aca="false">J58-J66</f>
        <v>290.877</v>
      </c>
      <c r="K92" s="53" t="n">
        <f aca="false">K58-K66</f>
        <v>82.98</v>
      </c>
      <c r="L92" s="53" t="n">
        <f aca="false">L58-L66</f>
        <v>448.987</v>
      </c>
      <c r="M92" s="53" t="n">
        <f aca="false">M58-M66</f>
        <v>0</v>
      </c>
      <c r="N92" s="67" t="s">
        <v>87</v>
      </c>
    </row>
    <row r="93" customFormat="false" ht="15" hidden="false" customHeight="false" outlineLevel="0" collapsed="false">
      <c r="A93" s="14" t="s">
        <v>602</v>
      </c>
      <c r="B93" s="53" t="n">
        <f aca="false">(1-Assumptions!$B$135)*B59-B67</f>
        <v>0</v>
      </c>
      <c r="C93" s="53" t="n">
        <f aca="false">(1-Assumptions!$B$135)*C59-C67</f>
        <v>-990</v>
      </c>
      <c r="D93" s="53" t="n">
        <f aca="false">(1-Assumptions!$B$135)*D59-D67</f>
        <v>0</v>
      </c>
      <c r="E93" s="53" t="n">
        <f aca="false">(1-Assumptions!$B$135)*E59-E67</f>
        <v>0</v>
      </c>
      <c r="F93" s="53" t="n">
        <f aca="false">(1-Assumptions!$B$135)*F59-F67</f>
        <v>-220.040469</v>
      </c>
      <c r="G93" s="53" t="n">
        <f aca="false">(1-Assumptions!$B$135)*G59-G67</f>
        <v>0</v>
      </c>
      <c r="H93" s="53" t="n">
        <f aca="false">(1-Assumptions!$B$135)*H59-H67</f>
        <v>0</v>
      </c>
      <c r="I93" s="53" t="n">
        <f aca="false">(1-Assumptions!$B$135)*I59-I67</f>
        <v>-990</v>
      </c>
      <c r="J93" s="53" t="n">
        <f aca="false">(1-Assumptions!$B$135)*J59-J67</f>
        <v>0</v>
      </c>
      <c r="K93" s="53" t="n">
        <f aca="false">(1-Assumptions!$B$135)*K59-K67</f>
        <v>0</v>
      </c>
      <c r="L93" s="53" t="n">
        <f aca="false">(1-0)*L59-L67</f>
        <v>448.987</v>
      </c>
      <c r="M93" s="53" t="n">
        <f aca="false">(1-Assumptions!$B$135)*M59-M67</f>
        <v>0</v>
      </c>
      <c r="N93" s="67" t="s">
        <v>87</v>
      </c>
    </row>
    <row r="94" customFormat="false" ht="15" hidden="false" customHeight="false" outlineLevel="0" collapsed="false">
      <c r="A94" s="14" t="s">
        <v>603</v>
      </c>
      <c r="B94" s="53" t="n">
        <f aca="false">B59-B67</f>
        <v>448.987</v>
      </c>
      <c r="C94" s="53" t="n">
        <f aca="false">C59-C67</f>
        <v>-990</v>
      </c>
      <c r="D94" s="53" t="n">
        <f aca="false">D59-D67</f>
        <v>337.9978</v>
      </c>
      <c r="E94" s="53" t="n">
        <f aca="false">E59-E67</f>
        <v>286.487</v>
      </c>
      <c r="F94" s="53" t="n">
        <f aca="false">F59-F67</f>
        <v>147.777831</v>
      </c>
      <c r="G94" s="53" t="n">
        <f aca="false">G59-G67</f>
        <v>189.8224</v>
      </c>
      <c r="H94" s="53" t="n">
        <f aca="false">H59-H67</f>
        <v>448.987</v>
      </c>
      <c r="I94" s="53" t="n">
        <f aca="false">I59-I67</f>
        <v>-911.4515</v>
      </c>
      <c r="J94" s="53" t="n">
        <f aca="false">J59-J67</f>
        <v>290.877</v>
      </c>
      <c r="K94" s="53" t="n">
        <f aca="false">K59-K67</f>
        <v>82.98</v>
      </c>
      <c r="L94" s="53" t="n">
        <f aca="false">L59-L67</f>
        <v>448.987</v>
      </c>
      <c r="M94" s="53" t="n">
        <f aca="false">M59-M67</f>
        <v>0</v>
      </c>
      <c r="N94" s="67" t="s">
        <v>87</v>
      </c>
    </row>
    <row r="95" customFormat="false" ht="15" hidden="false" customHeight="false" outlineLevel="0" collapsed="false">
      <c r="A95" s="14" t="s">
        <v>604</v>
      </c>
      <c r="B95" s="53" t="n">
        <f aca="false">B55+Assumptions!$B$115*Assumptions!$B$34*(1+0)+(1-Assumptions!$B$115)*Assumptions!$B$127*(1+0)-B68</f>
        <v>10989.87</v>
      </c>
      <c r="C95" s="53" t="n">
        <f aca="false">C55+Assumptions!$B$115*Assumptions!$B$34*(1+Scenarios!$C$18)+(1-Assumptions!$B$115)*Assumptions!$B$127*(1+Scenarios!$C$18)-C68</f>
        <v>5028.3994</v>
      </c>
      <c r="D95" s="53" t="n">
        <f aca="false">D55+Assumptions!$B$115*Assumptions!$B$34*(1+0)+(1-Assumptions!$B$115)*Assumptions!$B$127*(1+0)-D68</f>
        <v>9879.978</v>
      </c>
      <c r="E95" s="53" t="n">
        <f aca="false">E55+Assumptions!$B$115*Assumptions!$B$34*(1+Scenarios!$C$18)+(1-Assumptions!$B$115)*Assumptions!$B$127*(1+Scenarios!$C$18)-E68</f>
        <v>12614.87</v>
      </c>
      <c r="F95" s="53" t="n">
        <f aca="false">F55+Assumptions!$B$115*Assumptions!$B$34*(1+0)+(1-Assumptions!$B$115)*Assumptions!$B$127*(1+0)-F68</f>
        <v>9951.474638</v>
      </c>
      <c r="G95" s="53" t="n">
        <f aca="false">G55+Assumptions!$B$115*Assumptions!$B$34*(1+0)+(1-Assumptions!$B$115)*Assumptions!$B$127*(1+0)-G68</f>
        <v>8398.224</v>
      </c>
      <c r="H95" s="53" t="n">
        <f aca="false">H55+Assumptions!$B$115*Assumptions!$B$34*(1+0)+(1-Assumptions!$B$115)*Assumptions!$B$127*(1+0)-H68</f>
        <v>10989.87</v>
      </c>
      <c r="I95" s="53" t="n">
        <f aca="false">I55+Assumptions!$B$115*Assumptions!$B$34*(1+0)+(1-Assumptions!$B$115)*Assumptions!$B$127*(1+0)-I68</f>
        <v>6265.485</v>
      </c>
      <c r="J95" s="53" t="n">
        <f aca="false">J55+Assumptions!$B$115*Assumptions!$B$34*(1+0)+(1-Assumptions!$B$115)*Assumptions!$B$127*(1+0)-J68</f>
        <v>9408.77</v>
      </c>
      <c r="K95" s="53" t="n">
        <f aca="false">K55+Assumptions!$B$115*Assumptions!$B$34*(1+0)+(1-Assumptions!$B$115)*Assumptions!$B$127*(1+0)-K68</f>
        <v>7329.8</v>
      </c>
      <c r="L95" s="53" t="n">
        <f aca="false">L55+Assumptions!$B$115*Assumptions!$B$34*(1+0)+(1-Assumptions!$B$115)*Assumptions!$B$127*(1+0)-L68</f>
        <v>10989.87</v>
      </c>
      <c r="M95" s="53" t="n">
        <f aca="false">M55+Assumptions!$B$115*Assumptions!$B$34*(1+Scenarios!$C$18)+(1-Assumptions!$B$115)*Assumptions!$B$127*(1+Scenarios!$C$18)-M68</f>
        <v>6048.3994</v>
      </c>
      <c r="N95" s="67" t="s">
        <v>87</v>
      </c>
    </row>
    <row r="96" customFormat="false" ht="15" hidden="false" customHeight="false" outlineLevel="0" collapsed="false">
      <c r="A96" s="14" t="s">
        <v>605</v>
      </c>
      <c r="B96" s="84" t="str">
        <f aca="false">""</f>
        <v/>
      </c>
      <c r="C96" s="84" t="str">
        <f aca="false">""</f>
        <v/>
      </c>
      <c r="D96" s="84" t="str">
        <f aca="false">""</f>
        <v/>
      </c>
      <c r="E96" s="84" t="str">
        <f aca="false">""</f>
        <v/>
      </c>
      <c r="F96" s="84" t="str">
        <f aca="false">""</f>
        <v/>
      </c>
      <c r="G96" s="84" t="str">
        <f aca="false">""</f>
        <v/>
      </c>
      <c r="H96" s="84" t="str">
        <f aca="false">""</f>
        <v/>
      </c>
      <c r="I96" s="84" t="str">
        <f aca="false">""</f>
        <v/>
      </c>
      <c r="J96" s="84" t="str">
        <f aca="false">""</f>
        <v/>
      </c>
      <c r="K96" s="84" t="str">
        <f aca="false">""</f>
        <v/>
      </c>
      <c r="L96" s="84" t="str">
        <f aca="false">""</f>
        <v/>
      </c>
      <c r="M96" s="84" t="str">
        <f aca="false">""</f>
        <v/>
      </c>
      <c r="N96" s="67"/>
    </row>
    <row r="98" customFormat="false" ht="15" hidden="false" customHeight="false" outlineLevel="0" collapsed="false">
      <c r="A98" s="67" t="s">
        <v>606</v>
      </c>
    </row>
    <row r="99" customFormat="false" ht="15" hidden="false" customHeight="false" outlineLevel="0" collapsed="false">
      <c r="A99" s="67" t="s">
        <v>607</v>
      </c>
    </row>
    <row r="100" customFormat="false" ht="15" hidden="false" customHeight="false" outlineLevel="0" collapsed="false">
      <c r="A100" s="67" t="s">
        <v>608</v>
      </c>
    </row>
    <row r="101" customFormat="false" ht="15" hidden="false" customHeight="false" outlineLevel="0" collapsed="false">
      <c r="A101" s="67" t="s">
        <v>609</v>
      </c>
    </row>
    <row r="102" customFormat="false" ht="15" hidden="false" customHeight="false" outlineLevel="0" collapsed="false">
      <c r="A102" s="67" t="s">
        <v>610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52"/>
    <col collapsed="false" customWidth="true" hidden="false" outlineLevel="0" max="7" min="3" style="0" width="14"/>
  </cols>
  <sheetData>
    <row r="1" customFormat="false" ht="17.35" hidden="false" customHeight="false" outlineLevel="0" collapsed="false">
      <c r="A1" s="1" t="s">
        <v>611</v>
      </c>
    </row>
    <row r="2" customFormat="false" ht="15" hidden="false" customHeight="false" outlineLevel="0" collapsed="false">
      <c r="A2" s="2" t="s">
        <v>612</v>
      </c>
    </row>
    <row r="4" customFormat="false" ht="15" hidden="false" customHeight="false" outlineLevel="0" collapsed="false">
      <c r="A4" s="15" t="s">
        <v>613</v>
      </c>
      <c r="B4" s="16" t="s">
        <v>614</v>
      </c>
      <c r="C4" s="16" t="s">
        <v>448</v>
      </c>
      <c r="D4" s="16" t="s">
        <v>449</v>
      </c>
      <c r="E4" s="16" t="s">
        <v>450</v>
      </c>
      <c r="F4" s="16" t="s">
        <v>451</v>
      </c>
      <c r="G4" s="16" t="s">
        <v>452</v>
      </c>
    </row>
    <row r="5" customFormat="false" ht="15" hidden="false" customHeight="false" outlineLevel="0" collapsed="false">
      <c r="A5" s="40" t="s">
        <v>615</v>
      </c>
      <c r="B5" s="41"/>
      <c r="C5" s="41"/>
      <c r="D5" s="41"/>
      <c r="E5" s="41"/>
      <c r="F5" s="41"/>
      <c r="G5" s="41"/>
    </row>
    <row r="6" customFormat="false" ht="22.35" hidden="false" customHeight="false" outlineLevel="0" collapsed="false">
      <c r="A6" s="14" t="s">
        <v>616</v>
      </c>
      <c r="B6" s="85" t="s">
        <v>617</v>
      </c>
      <c r="C6" s="18" t="n">
        <f aca="false">Pools!C18*((Assumptions!$B$21-Assumptions!$B$19)*Assumptions!$B$14+Assumptions!$B$70)</f>
        <v>39600</v>
      </c>
      <c r="D6" s="18" t="n">
        <f aca="false">Pools!D18*((Assumptions!$B$21-Assumptions!$B$19)*Assumptions!$B$14+Assumptions!$B$70)</f>
        <v>111633.397994121</v>
      </c>
      <c r="E6" s="18" t="n">
        <f aca="false">Pools!E18*((Assumptions!$B$21-Assumptions!$B$19)*Assumptions!$B$14+Assumptions!$B$70)</f>
        <v>182175.261876188</v>
      </c>
      <c r="F6" s="18" t="n">
        <f aca="false">Pools!F18*((Assumptions!$B$21-Assumptions!$B$19)*Assumptions!$B$14+Assumptions!$B$70)</f>
        <v>261302.147605308</v>
      </c>
      <c r="G6" s="18" t="n">
        <f aca="false">Pools!G18*((Assumptions!$B$21-Assumptions!$B$19)*Assumptions!$B$14+Assumptions!$B$70)</f>
        <v>330145.571603245</v>
      </c>
    </row>
    <row r="7" customFormat="false" ht="15" hidden="false" customHeight="false" outlineLevel="0" collapsed="false">
      <c r="A7" s="14" t="s">
        <v>618</v>
      </c>
      <c r="B7" s="85" t="s">
        <v>619</v>
      </c>
      <c r="C7" s="18" t="n">
        <f aca="false">Pools!C28*MAX(0,Pools!C31)*Assumptions!$B$28</f>
        <v>8415.8974111412</v>
      </c>
      <c r="D7" s="18" t="n">
        <f aca="false">Pools!D28*MAX(0,Pools!D31)*Assumptions!$B$28</f>
        <v>30858.2905075177</v>
      </c>
      <c r="E7" s="18" t="n">
        <f aca="false">Pools!E28*MAX(0,Pools!E31)*Assumptions!$B$28</f>
        <v>50495.3844668472</v>
      </c>
      <c r="F7" s="18" t="n">
        <f aca="false">Pools!F28*MAX(0,Pools!F31)*Assumptions!$B$28</f>
        <v>53300.6836038943</v>
      </c>
      <c r="G7" s="18" t="n">
        <f aca="false">Pools!G28*MAX(0,Pools!G31)*Assumptions!$B$28</f>
        <v>42079.487055706</v>
      </c>
    </row>
    <row r="8" customFormat="false" ht="22.35" hidden="false" customHeight="false" outlineLevel="0" collapsed="false">
      <c r="A8" s="14" t="s">
        <v>620</v>
      </c>
      <c r="B8" s="85" t="s">
        <v>621</v>
      </c>
      <c r="C8" s="18" t="n">
        <f aca="false">Pools!C70-Pools!C71</f>
        <v>0</v>
      </c>
      <c r="D8" s="18" t="n">
        <f aca="false">Pools!D70-Pools!D71</f>
        <v>0</v>
      </c>
      <c r="E8" s="18" t="n">
        <f aca="false">Pools!E70-Pools!E71</f>
        <v>0</v>
      </c>
      <c r="F8" s="18" t="n">
        <f aca="false">Pools!F70-Pools!F71</f>
        <v>0</v>
      </c>
      <c r="G8" s="18" t="n">
        <f aca="false">Pools!G70-Pools!G71</f>
        <v>0</v>
      </c>
    </row>
    <row r="9" customFormat="false" ht="15" hidden="false" customHeight="false" outlineLevel="0" collapsed="false">
      <c r="A9" s="14" t="s">
        <v>622</v>
      </c>
      <c r="B9" s="85" t="s">
        <v>623</v>
      </c>
      <c r="C9" s="18" t="n">
        <f aca="false">Pools!C48*Assumptions!$B$10</f>
        <v>1286.314774742</v>
      </c>
      <c r="D9" s="18" t="n">
        <f aca="false">Pools!D48*Assumptions!$B$10</f>
        <v>3986.98183256697</v>
      </c>
      <c r="E9" s="18" t="n">
        <f aca="false">Pools!E48*Assumptions!$B$10</f>
        <v>6999.49540188164</v>
      </c>
      <c r="F9" s="18" t="n">
        <f aca="false">Pools!F48*Assumptions!$B$10</f>
        <v>10379.6269774937</v>
      </c>
      <c r="G9" s="18" t="n">
        <f aca="false">Pools!G48*Assumptions!$B$10</f>
        <v>13822.1975048635</v>
      </c>
    </row>
    <row r="10" customFormat="false" ht="15" hidden="false" customHeight="false" outlineLevel="0" collapsed="false">
      <c r="A10" s="22" t="s">
        <v>624</v>
      </c>
      <c r="B10" s="85"/>
      <c r="C10" s="75" t="n">
        <f aca="false">SUM(C6:C9)+C31</f>
        <v>53144.6496858832</v>
      </c>
      <c r="D10" s="75" t="n">
        <f aca="false">SUM(D6:D9)+D31</f>
        <v>158005.982834205</v>
      </c>
      <c r="E10" s="75" t="n">
        <f aca="false">SUM(E6:E9)+E31</f>
        <v>260163.141744917</v>
      </c>
      <c r="F10" s="75" t="n">
        <f aca="false">SUM(F6:F9)+F31</f>
        <v>357002.770686696</v>
      </c>
      <c r="G10" s="75" t="n">
        <f aca="false">SUM(G6:G9)+G31</f>
        <v>430875.693663814</v>
      </c>
    </row>
    <row r="11" customFormat="false" ht="15" hidden="false" customHeight="false" outlineLevel="0" collapsed="false">
      <c r="A11" s="14" t="s">
        <v>625</v>
      </c>
      <c r="B11" s="85" t="s">
        <v>626</v>
      </c>
      <c r="C11" s="18" t="n">
        <f aca="false">Assumptions!$B$13*Yearly_Inputs!$B$8*Assumptions!$B$64</f>
        <v>104000</v>
      </c>
      <c r="D11" s="18" t="n">
        <f aca="false">Assumptions!$B$13*Yearly_Inputs!$C$8*Assumptions!$B$64</f>
        <v>208000</v>
      </c>
      <c r="E11" s="18" t="n">
        <f aca="false">Assumptions!$B$13*Yearly_Inputs!$D$8*Assumptions!$B$64</f>
        <v>208000</v>
      </c>
      <c r="F11" s="18" t="n">
        <f aca="false">Assumptions!$B$13*Yearly_Inputs!$E$8*Assumptions!$B$64</f>
        <v>208000</v>
      </c>
      <c r="G11" s="18" t="n">
        <f aca="false">Assumptions!$B$13*Yearly_Inputs!$F$8*Assumptions!$B$64</f>
        <v>208000</v>
      </c>
    </row>
    <row r="12" customFormat="false" ht="15" hidden="false" customHeight="false" outlineLevel="0" collapsed="false">
      <c r="A12" s="22" t="s">
        <v>627</v>
      </c>
      <c r="B12" s="85"/>
      <c r="C12" s="75" t="n">
        <f aca="false">C10+C11</f>
        <v>157144.649685883</v>
      </c>
      <c r="D12" s="75" t="n">
        <f aca="false">D10+D11</f>
        <v>366005.982834205</v>
      </c>
      <c r="E12" s="75" t="n">
        <f aca="false">E10+E11</f>
        <v>468163.141744917</v>
      </c>
      <c r="F12" s="75" t="n">
        <f aca="false">F10+F11</f>
        <v>565002.770686696</v>
      </c>
      <c r="G12" s="75" t="n">
        <f aca="false">G10+G11</f>
        <v>638875.693663814</v>
      </c>
    </row>
    <row r="14" customFormat="false" ht="15" hidden="false" customHeight="false" outlineLevel="0" collapsed="false">
      <c r="A14" s="40" t="s">
        <v>628</v>
      </c>
      <c r="B14" s="41"/>
      <c r="C14" s="41"/>
      <c r="D14" s="41"/>
      <c r="E14" s="41"/>
      <c r="F14" s="41"/>
      <c r="G14" s="41"/>
    </row>
    <row r="15" customFormat="false" ht="15" hidden="false" customHeight="false" outlineLevel="0" collapsed="false">
      <c r="A15" s="14" t="s">
        <v>629</v>
      </c>
      <c r="B15" s="85" t="s">
        <v>630</v>
      </c>
      <c r="C15" s="18" t="n">
        <f aca="false">Pools!C50</f>
        <v>82163.2986428572</v>
      </c>
      <c r="D15" s="18" t="n">
        <f aca="false">Pools!D50</f>
        <v>237325.396012397</v>
      </c>
      <c r="E15" s="18" t="n">
        <f aca="false">Pools!E50</f>
        <v>378613.848719842</v>
      </c>
      <c r="F15" s="18" t="n">
        <f aca="false">Pools!F50</f>
        <v>517911.110886756</v>
      </c>
      <c r="G15" s="18" t="n">
        <f aca="false">Pools!G50</f>
        <v>636879.554045974</v>
      </c>
    </row>
    <row r="16" customFormat="false" ht="15" hidden="false" customHeight="false" outlineLevel="0" collapsed="false">
      <c r="A16" s="14" t="s">
        <v>480</v>
      </c>
      <c r="B16" s="85" t="s">
        <v>631</v>
      </c>
      <c r="C16" s="18" t="n">
        <f aca="false">Pools!C32</f>
        <v>18000</v>
      </c>
      <c r="D16" s="18" t="n">
        <f aca="false">Pools!D32</f>
        <v>66000</v>
      </c>
      <c r="E16" s="18" t="n">
        <f aca="false">Pools!E32</f>
        <v>108000</v>
      </c>
      <c r="F16" s="18" t="n">
        <f aca="false">Pools!F32</f>
        <v>114000</v>
      </c>
      <c r="G16" s="18" t="n">
        <f aca="false">Pools!G32</f>
        <v>90000</v>
      </c>
    </row>
    <row r="17" customFormat="false" ht="15" hidden="false" customHeight="false" outlineLevel="0" collapsed="false">
      <c r="A17" s="14" t="s">
        <v>632</v>
      </c>
      <c r="B17" s="85" t="s">
        <v>633</v>
      </c>
      <c r="C17" s="18" t="n">
        <f aca="false">Pools!C51</f>
        <v>1534.19603524229</v>
      </c>
      <c r="D17" s="18" t="n">
        <f aca="false">Pools!D51</f>
        <v>4700.38546255507</v>
      </c>
      <c r="E17" s="18" t="n">
        <f aca="false">Pools!E51</f>
        <v>8280.17621145375</v>
      </c>
      <c r="F17" s="18" t="n">
        <f aca="false">Pools!F51</f>
        <v>12491.5748898678</v>
      </c>
      <c r="G17" s="18" t="n">
        <f aca="false">Pools!G51</f>
        <v>16920.9801762115</v>
      </c>
    </row>
    <row r="19" customFormat="false" ht="15" hidden="false" customHeight="false" outlineLevel="0" collapsed="false">
      <c r="A19" s="40" t="s">
        <v>634</v>
      </c>
      <c r="B19" s="41"/>
      <c r="C19" s="41"/>
      <c r="D19" s="41"/>
      <c r="E19" s="41"/>
      <c r="F19" s="41"/>
      <c r="G19" s="41"/>
    </row>
    <row r="20" customFormat="false" ht="15" hidden="false" customHeight="false" outlineLevel="0" collapsed="false">
      <c r="A20" s="14" t="s">
        <v>635</v>
      </c>
      <c r="B20" s="85" t="s">
        <v>636</v>
      </c>
      <c r="C20" s="53" t="n">
        <f aca="false">Yearly_Inputs!$B$9</f>
        <v>1</v>
      </c>
      <c r="D20" s="53" t="n">
        <f aca="false">Yearly_Inputs!$B$9+Yearly_Inputs!$C$9</f>
        <v>3</v>
      </c>
      <c r="E20" s="53" t="n">
        <f aca="false">Yearly_Inputs!$B$9+Yearly_Inputs!$C$9+Yearly_Inputs!$D$9</f>
        <v>5</v>
      </c>
      <c r="F20" s="53" t="n">
        <f aca="false">Yearly_Inputs!$B$9+Yearly_Inputs!$C$9+Yearly_Inputs!$D$9+Yearly_Inputs!$E$9</f>
        <v>7</v>
      </c>
      <c r="G20" s="53" t="n">
        <f aca="false">Yearly_Inputs!$B$9+Yearly_Inputs!$C$9+Yearly_Inputs!$D$9+Yearly_Inputs!$E$9+Yearly_Inputs!$F$9</f>
        <v>9</v>
      </c>
    </row>
    <row r="21" customFormat="false" ht="15" hidden="false" customHeight="false" outlineLevel="0" collapsed="false">
      <c r="A21" s="14" t="s">
        <v>637</v>
      </c>
      <c r="B21" s="85"/>
      <c r="C21" s="53" t="n">
        <f aca="false">Yearly_Inputs!$B$9*Yearly_Inputs!$B$10*C10</f>
        <v>53144.6496858832</v>
      </c>
      <c r="D21" s="53" t="n">
        <f aca="false">Yearly_Inputs!$B$9*Yearly_Inputs!$B$10*D10+Yearly_Inputs!$C$9*Yearly_Inputs!$C$10*C10</f>
        <v>221779.562457265</v>
      </c>
      <c r="E21" s="53" t="n">
        <f aca="false">Yearly_Inputs!$B$9*Yearly_Inputs!$B$10*E10+Yearly_Inputs!$C$9*Yearly_Inputs!$C$10*D10+Yearly_Inputs!$D$9*Yearly_Inputs!$D$10*C10</f>
        <v>513543.900769023</v>
      </c>
      <c r="F21" s="53" t="n">
        <f aca="false">Yearly_Inputs!$B$9*Yearly_Inputs!$B$10*F10+Yearly_Inputs!$C$9*Yearly_Inputs!$C$10*E10+Yearly_Inputs!$D$9*Yearly_Inputs!$D$10*D10+Yearly_Inputs!$E$9*Yearly_Inputs!$E$10*C10</f>
        <v>922579.299804702</v>
      </c>
      <c r="G21" s="53" t="n">
        <f aca="false">Yearly_Inputs!$B$9*Yearly_Inputs!$B$10*G10+Yearly_Inputs!$C$9*Yearly_Inputs!$C$10*F10+Yearly_Inputs!$D$9*Yearly_Inputs!$D$10*E10+Yearly_Inputs!$E$9*Yearly_Inputs!$E$10*D10+Yearly_Inputs!$F$9*Yearly_Inputs!$F$10*C10</f>
        <v>1424855.54760586</v>
      </c>
    </row>
    <row r="22" customFormat="false" ht="15" hidden="false" customHeight="false" outlineLevel="0" collapsed="false">
      <c r="A22" s="14" t="s">
        <v>638</v>
      </c>
      <c r="B22" s="85"/>
      <c r="C22" s="53" t="n">
        <f aca="false">Yearly_Inputs!$B$9*Yearly_Inputs!$B$10*C11</f>
        <v>104000</v>
      </c>
      <c r="D22" s="53" t="n">
        <f aca="false">Yearly_Inputs!$B$9*Yearly_Inputs!$B$10*D11+Yearly_Inputs!$C$9*Yearly_Inputs!$C$10*C11</f>
        <v>332800</v>
      </c>
      <c r="E22" s="53" t="n">
        <f aca="false">Yearly_Inputs!$B$9*Yearly_Inputs!$B$10*E11+Yearly_Inputs!$C$9*Yearly_Inputs!$C$10*D11+Yearly_Inputs!$D$9*Yearly_Inputs!$D$10*C11</f>
        <v>582400</v>
      </c>
      <c r="F22" s="53" t="n">
        <f aca="false">Yearly_Inputs!$B$9*Yearly_Inputs!$B$10*F11+Yearly_Inputs!$C$9*Yearly_Inputs!$C$10*E11+Yearly_Inputs!$D$9*Yearly_Inputs!$D$10*D11+Yearly_Inputs!$E$9*Yearly_Inputs!$E$10*C11</f>
        <v>832000</v>
      </c>
      <c r="G22" s="53" t="n">
        <f aca="false">Yearly_Inputs!$B$9*Yearly_Inputs!$B$10*G11+Yearly_Inputs!$C$9*Yearly_Inputs!$C$10*F11+Yearly_Inputs!$D$9*Yearly_Inputs!$D$10*E11+Yearly_Inputs!$E$9*Yearly_Inputs!$E$10*D11+Yearly_Inputs!$F$9*Yearly_Inputs!$F$10*C11</f>
        <v>1081600</v>
      </c>
    </row>
    <row r="23" customFormat="false" ht="15" hidden="false" customHeight="false" outlineLevel="0" collapsed="false">
      <c r="A23" s="22" t="s">
        <v>639</v>
      </c>
      <c r="B23" s="85"/>
      <c r="C23" s="75" t="n">
        <f aca="false">C21+C22</f>
        <v>157144.649685883</v>
      </c>
      <c r="D23" s="75" t="n">
        <f aca="false">D21+D22</f>
        <v>554579.562457265</v>
      </c>
      <c r="E23" s="75" t="n">
        <f aca="false">E21+E22</f>
        <v>1095943.90076902</v>
      </c>
      <c r="F23" s="75" t="n">
        <f aca="false">F21+F22</f>
        <v>1754579.2998047</v>
      </c>
      <c r="G23" s="75" t="n">
        <f aca="false">G21+G22</f>
        <v>2506455.54760586</v>
      </c>
    </row>
    <row r="24" customFormat="false" ht="15" hidden="false" customHeight="false" outlineLevel="0" collapsed="false">
      <c r="A24" s="14" t="s">
        <v>640</v>
      </c>
      <c r="B24" s="85"/>
      <c r="C24" s="53" t="n">
        <f aca="false">Yearly_Inputs!$B$9*Yearly_Inputs!$B$10*Pools!C45</f>
        <v>3202500</v>
      </c>
      <c r="D24" s="53" t="n">
        <f aca="false">Yearly_Inputs!$B$9*Yearly_Inputs!$B$10*Pools!D45+Yearly_Inputs!$C$9*Yearly_Inputs!$C$10*Pools!C45</f>
        <v>7268000</v>
      </c>
      <c r="E24" s="53" t="n">
        <f aca="false">Yearly_Inputs!$B$9*Yearly_Inputs!$B$10*Pools!E45+Yearly_Inputs!$C$9*Yearly_Inputs!$C$10*Pools!D45+Yearly_Inputs!$D$9*Yearly_Inputs!$D$10*Pools!C45</f>
        <v>12038000</v>
      </c>
      <c r="F24" s="53" t="n">
        <f aca="false">Yearly_Inputs!$B$9*Yearly_Inputs!$B$10*Pools!F45+Yearly_Inputs!$C$9*Yearly_Inputs!$C$10*Pools!E45+Yearly_Inputs!$D$9*Yearly_Inputs!$D$10*Pools!D45+Yearly_Inputs!$E$9*Yearly_Inputs!$E$10*Pools!C45</f>
        <v>17900000</v>
      </c>
      <c r="G24" s="53" t="n">
        <f aca="false">Yearly_Inputs!$B$9*Yearly_Inputs!$B$10*Pools!G45+Yearly_Inputs!$C$9*Yearly_Inputs!$C$10*Pools!F45+Yearly_Inputs!$D$9*Yearly_Inputs!$D$10*Pools!E45+Yearly_Inputs!$E$9*Yearly_Inputs!$E$10*Pools!D45+Yearly_Inputs!$F$9*Yearly_Inputs!$F$10*Pools!C45</f>
        <v>23954000</v>
      </c>
    </row>
    <row r="25" customFormat="false" ht="15" hidden="false" customHeight="false" outlineLevel="0" collapsed="false">
      <c r="A25" s="14" t="s">
        <v>641</v>
      </c>
      <c r="B25" s="85" t="s">
        <v>495</v>
      </c>
      <c r="C25" s="53" t="n">
        <f aca="false">Yearly_Inputs!$B$9*Yearly_Inputs!$B$10*Pools!C49</f>
        <v>6405</v>
      </c>
      <c r="D25" s="53" t="n">
        <f aca="false">Yearly_Inputs!$B$9*Yearly_Inputs!$B$10*Pools!D49+Yearly_Inputs!$C$9*Yearly_Inputs!$C$10*Pools!C49</f>
        <v>14536</v>
      </c>
      <c r="E25" s="53" t="n">
        <f aca="false">Yearly_Inputs!$B$9*Yearly_Inputs!$B$10*Pools!E49+Yearly_Inputs!$C$9*Yearly_Inputs!$C$10*Pools!D49+Yearly_Inputs!$D$9*Yearly_Inputs!$D$10*Pools!C49</f>
        <v>24076</v>
      </c>
      <c r="F25" s="53" t="n">
        <f aca="false">Yearly_Inputs!$B$9*Yearly_Inputs!$B$10*Pools!F49+Yearly_Inputs!$C$9*Yearly_Inputs!$C$10*Pools!E49+Yearly_Inputs!$D$9*Yearly_Inputs!$D$10*Pools!D49+Yearly_Inputs!$E$9*Yearly_Inputs!$E$10*Pools!C49</f>
        <v>35800</v>
      </c>
      <c r="G25" s="53" t="n">
        <f aca="false">Yearly_Inputs!$B$9*Yearly_Inputs!$B$10*Pools!G49+Yearly_Inputs!$C$9*Yearly_Inputs!$C$10*Pools!F49+Yearly_Inputs!$D$9*Yearly_Inputs!$D$10*Pools!E49+Yearly_Inputs!$E$9*Yearly_Inputs!$E$10*Pools!D49+Yearly_Inputs!$F$9*Yearly_Inputs!$F$10*Pools!C49</f>
        <v>47908</v>
      </c>
    </row>
    <row r="26" customFormat="false" ht="15" hidden="false" customHeight="false" outlineLevel="0" collapsed="false">
      <c r="A26" s="14" t="s">
        <v>642</v>
      </c>
      <c r="B26" s="85"/>
      <c r="C26" s="53" t="n">
        <f aca="false">Yearly_Inputs!$B$9*Yearly_Inputs!$B$10*Pools!C50</f>
        <v>82163.2986428572</v>
      </c>
      <c r="D26" s="53" t="n">
        <f aca="false">Yearly_Inputs!$B$9*Yearly_Inputs!$B$10*Pools!D50+Yearly_Inputs!$C$9*Yearly_Inputs!$C$10*Pools!C50</f>
        <v>335921.354383826</v>
      </c>
      <c r="E26" s="53" t="n">
        <f aca="false">Yearly_Inputs!$B$9*Yearly_Inputs!$B$10*Pools!E50+Yearly_Inputs!$C$9*Yearly_Inputs!$C$10*Pools!D50+Yearly_Inputs!$D$9*Yearly_Inputs!$D$10*Pools!C50</f>
        <v>762000.282306147</v>
      </c>
      <c r="F26" s="53" t="n">
        <f aca="false">Yearly_Inputs!$B$9*Yearly_Inputs!$B$10*Pools!F50+Yearly_Inputs!$C$9*Yearly_Inputs!$C$10*Pools!E50+Yearly_Inputs!$D$9*Yearly_Inputs!$D$10*Pools!D50+Yearly_Inputs!$E$9*Yearly_Inputs!$E$10*Pools!C50</f>
        <v>1355634.16293687</v>
      </c>
      <c r="G26" s="53" t="n">
        <f aca="false">Yearly_Inputs!$B$9*Yearly_Inputs!$B$10*Pools!G50+Yearly_Inputs!$C$9*Yearly_Inputs!$C$10*Pools!F50+Yearly_Inputs!$D$9*Yearly_Inputs!$D$10*Pools!E50+Yearly_Inputs!$E$9*Yearly_Inputs!$E$10*Pools!D50+Yearly_Inputs!$F$9*Yearly_Inputs!$F$10*Pools!C50</f>
        <v>2096095.9391602</v>
      </c>
    </row>
    <row r="27" customFormat="false" ht="15" hidden="false" customHeight="false" outlineLevel="0" collapsed="false">
      <c r="A27" s="14" t="s">
        <v>643</v>
      </c>
      <c r="B27" s="85"/>
      <c r="C27" s="53" t="n">
        <f aca="false">Yearly_Inputs!$B$9*Yearly_Inputs!$B$10*Pools!C51</f>
        <v>1534.19603524229</v>
      </c>
      <c r="D27" s="53" t="n">
        <f aca="false">Yearly_Inputs!$B$9*Yearly_Inputs!$B$10*Pools!D51+Yearly_Inputs!$C$9*Yearly_Inputs!$C$10*Pools!C51</f>
        <v>6541.42070484582</v>
      </c>
      <c r="E27" s="53" t="n">
        <f aca="false">Yearly_Inputs!$B$9*Yearly_Inputs!$B$10*Pools!E51+Yearly_Inputs!$C$9*Yearly_Inputs!$C$10*Pools!D51+Yearly_Inputs!$D$9*Yearly_Inputs!$D$10*Pools!C51</f>
        <v>15761.6740088106</v>
      </c>
      <c r="F27" s="53" t="n">
        <f aca="false">Yearly_Inputs!$B$9*Yearly_Inputs!$B$10*Pools!F51+Yearly_Inputs!$C$9*Yearly_Inputs!$C$10*Pools!E51+Yearly_Inputs!$D$9*Yearly_Inputs!$D$10*Pools!D51+Yearly_Inputs!$E$9*Yearly_Inputs!$E$10*Pools!C51</f>
        <v>29909.2841409692</v>
      </c>
      <c r="G27" s="53" t="n">
        <f aca="false">Yearly_Inputs!$B$9*Yearly_Inputs!$B$10*Pools!G51+Yearly_Inputs!$C$9*Yearly_Inputs!$C$10*Pools!F51+Yearly_Inputs!$D$9*Yearly_Inputs!$D$10*Pools!E51+Yearly_Inputs!$E$9*Yearly_Inputs!$E$10*Pools!D51+Yearly_Inputs!$F$9*Yearly_Inputs!$F$10*Pools!C51</f>
        <v>49328.5792951542</v>
      </c>
    </row>
    <row r="28" customFormat="false" ht="15" hidden="false" customHeight="false" outlineLevel="0" collapsed="false">
      <c r="A28" s="10" t="s">
        <v>644</v>
      </c>
    </row>
    <row r="30" customFormat="false" ht="15" hidden="false" customHeight="false" outlineLevel="0" collapsed="false">
      <c r="A30" s="57" t="s">
        <v>645</v>
      </c>
      <c r="B30" s="58"/>
      <c r="C30" s="58"/>
      <c r="D30" s="58"/>
      <c r="E30" s="58"/>
      <c r="F30" s="58"/>
      <c r="G30" s="58"/>
    </row>
    <row r="31" customFormat="false" ht="22.35" hidden="false" customHeight="false" outlineLevel="0" collapsed="false">
      <c r="A31" s="77" t="s">
        <v>646</v>
      </c>
      <c r="B31" s="85" t="s">
        <v>647</v>
      </c>
      <c r="C31" s="18" t="n">
        <f aca="false">Pools!C63*Assumptions!$B$78*Assumptions!$B$52*Assumptions!$B$14*(1-Assumptions!$B$79)</f>
        <v>3842.4375</v>
      </c>
      <c r="D31" s="18" t="n">
        <f aca="false">Pools!D63*Assumptions!$B$78*Assumptions!$B$52*Assumptions!$B$14*(1-Assumptions!$B$79)</f>
        <v>11527.3125</v>
      </c>
      <c r="E31" s="18" t="n">
        <f aca="false">Pools!E63*Assumptions!$B$78*Assumptions!$B$52*Assumptions!$B$14*(1-Assumptions!$B$79)</f>
        <v>20493</v>
      </c>
      <c r="F31" s="18" t="n">
        <f aca="false">Pools!F63*Assumptions!$B$78*Assumptions!$B$52*Assumptions!$B$14*(1-Assumptions!$B$79)</f>
        <v>32020.3125</v>
      </c>
      <c r="G31" s="18" t="n">
        <f aca="false">Pools!G63*Assumptions!$B$78*Assumptions!$B$52*Assumptions!$B$14*(1-Assumptions!$B$79)</f>
        <v>44828.4375</v>
      </c>
    </row>
    <row r="32" customFormat="false" ht="15" hidden="false" customHeight="false" outlineLevel="0" collapsed="false">
      <c r="A32" s="77" t="s">
        <v>648</v>
      </c>
      <c r="B32" s="85" t="s">
        <v>649</v>
      </c>
      <c r="C32" s="53" t="n">
        <f aca="false">Assumptions!$B$13*Yearly_Inputs!$B$8*Assumptions!$B$65</f>
        <v>52000</v>
      </c>
      <c r="D32" s="53" t="n">
        <f aca="false">Assumptions!$B$13*Yearly_Inputs!$C$8*Assumptions!$B$65</f>
        <v>104000</v>
      </c>
      <c r="E32" s="53" t="n">
        <f aca="false">Assumptions!$B$13*Yearly_Inputs!$D$8*Assumptions!$B$65</f>
        <v>104000</v>
      </c>
      <c r="F32" s="53" t="n">
        <f aca="false">Assumptions!$B$13*Yearly_Inputs!$E$8*Assumptions!$B$65</f>
        <v>104000</v>
      </c>
      <c r="G32" s="53" t="n">
        <f aca="false">Assumptions!$B$13*Yearly_Inputs!$F$8*Assumptions!$B$65</f>
        <v>104000</v>
      </c>
    </row>
    <row r="33" customFormat="false" ht="15" hidden="false" customHeight="false" outlineLevel="0" collapsed="false">
      <c r="A33" s="77" t="s">
        <v>650</v>
      </c>
      <c r="B33" s="85" t="s">
        <v>651</v>
      </c>
      <c r="C33" s="53" t="n">
        <f aca="false">MAX(0,C32-C11)</f>
        <v>0</v>
      </c>
      <c r="D33" s="53" t="n">
        <f aca="false">MAX(0,D32-D11)</f>
        <v>0</v>
      </c>
      <c r="E33" s="53" t="n">
        <f aca="false">MAX(0,E32-E11)</f>
        <v>0</v>
      </c>
      <c r="F33" s="53" t="n">
        <f aca="false">MAX(0,F32-F11)</f>
        <v>0</v>
      </c>
      <c r="G33" s="53" t="n">
        <f aca="false">MAX(0,G32-G11)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7" min="3" style="0" width="14"/>
  </cols>
  <sheetData>
    <row r="1" customFormat="false" ht="17.35" hidden="false" customHeight="false" outlineLevel="0" collapsed="false">
      <c r="A1" s="1" t="s">
        <v>652</v>
      </c>
    </row>
    <row r="2" customFormat="false" ht="15" hidden="false" customHeight="false" outlineLevel="0" collapsed="false">
      <c r="A2" s="2" t="s">
        <v>653</v>
      </c>
    </row>
    <row r="4" customFormat="false" ht="15" hidden="false" customHeight="false" outlineLevel="0" collapsed="false">
      <c r="A4" s="15" t="s">
        <v>654</v>
      </c>
      <c r="B4" s="16" t="s">
        <v>655</v>
      </c>
      <c r="C4" s="16" t="s">
        <v>448</v>
      </c>
      <c r="D4" s="16" t="s">
        <v>449</v>
      </c>
      <c r="E4" s="16" t="s">
        <v>450</v>
      </c>
      <c r="F4" s="16" t="s">
        <v>451</v>
      </c>
      <c r="G4" s="16" t="s">
        <v>452</v>
      </c>
    </row>
    <row r="5" customFormat="false" ht="15" hidden="false" customHeight="false" outlineLevel="0" collapsed="false">
      <c r="A5" s="40" t="s">
        <v>656</v>
      </c>
      <c r="B5" s="41"/>
      <c r="C5" s="41"/>
      <c r="D5" s="41"/>
      <c r="E5" s="41"/>
      <c r="F5" s="41"/>
      <c r="G5" s="41"/>
    </row>
    <row r="6" customFormat="false" ht="15" hidden="false" customHeight="false" outlineLevel="0" collapsed="false">
      <c r="A6" s="14" t="s">
        <v>657</v>
      </c>
      <c r="B6" s="67" t="s">
        <v>658</v>
      </c>
      <c r="C6" s="18" t="n">
        <f aca="false">Assumptions!$B$60</f>
        <v>20000</v>
      </c>
      <c r="D6" s="18" t="n">
        <f aca="false">Assumptions!$B$61</f>
        <v>30000</v>
      </c>
      <c r="E6" s="18" t="n">
        <f aca="false">0</f>
        <v>0</v>
      </c>
      <c r="F6" s="18" t="n">
        <f aca="false">0</f>
        <v>0</v>
      </c>
      <c r="G6" s="18" t="n">
        <f aca="false">0</f>
        <v>0</v>
      </c>
    </row>
    <row r="7" customFormat="false" ht="15" hidden="false" customHeight="false" outlineLevel="0" collapsed="false">
      <c r="A7" s="14" t="s">
        <v>659</v>
      </c>
      <c r="B7" s="67" t="s">
        <v>658</v>
      </c>
      <c r="C7" s="18" t="n">
        <f aca="false">0</f>
        <v>0</v>
      </c>
      <c r="D7" s="18" t="n">
        <f aca="false">Assumptions!$B$39</f>
        <v>72000</v>
      </c>
      <c r="E7" s="18" t="n">
        <f aca="false">Assumptions!$B$39</f>
        <v>72000</v>
      </c>
      <c r="F7" s="18" t="n">
        <f aca="false">Assumptions!$B$39</f>
        <v>72000</v>
      </c>
      <c r="G7" s="18" t="n">
        <f aca="false">Assumptions!$B$39</f>
        <v>72000</v>
      </c>
    </row>
    <row r="8" customFormat="false" ht="15" hidden="false" customHeight="false" outlineLevel="0" collapsed="false">
      <c r="A8" s="22" t="s">
        <v>660</v>
      </c>
      <c r="B8" s="67"/>
      <c r="C8" s="75" t="n">
        <f aca="false">C6+C7</f>
        <v>20000</v>
      </c>
      <c r="D8" s="75" t="n">
        <f aca="false">D6+D7</f>
        <v>102000</v>
      </c>
      <c r="E8" s="75" t="n">
        <f aca="false">E6+E7</f>
        <v>72000</v>
      </c>
      <c r="F8" s="75" t="n">
        <f aca="false">F6+F7</f>
        <v>72000</v>
      </c>
      <c r="G8" s="75" t="n">
        <f aca="false">G6+G7</f>
        <v>72000</v>
      </c>
    </row>
    <row r="9" customFormat="false" ht="15" hidden="false" customHeight="false" outlineLevel="0" collapsed="false">
      <c r="A9" s="14" t="s">
        <v>661</v>
      </c>
      <c r="B9" s="67" t="s">
        <v>662</v>
      </c>
      <c r="C9" s="18" t="n">
        <f aca="false">Pools!C45*Assumptions!$B$40*(1-Assumptions!$B$62)</f>
        <v>0</v>
      </c>
      <c r="D9" s="18" t="n">
        <f aca="false">Pools!D45*Assumptions!$B$40</f>
        <v>25687.5</v>
      </c>
      <c r="E9" s="18" t="n">
        <f aca="false">Pools!E45*Assumptions!$B$40</f>
        <v>30637.5</v>
      </c>
      <c r="F9" s="18" t="n">
        <f aca="false">Pools!F45*Assumptions!$B$40</f>
        <v>37837.5</v>
      </c>
      <c r="G9" s="18" t="n">
        <f aca="false">Pools!G45*Assumptions!$B$40</f>
        <v>37837.5</v>
      </c>
    </row>
    <row r="10" customFormat="false" ht="15" hidden="false" customHeight="false" outlineLevel="0" collapsed="false">
      <c r="A10" s="14" t="s">
        <v>663</v>
      </c>
      <c r="B10" s="67" t="s">
        <v>662</v>
      </c>
      <c r="C10" s="18" t="n">
        <f aca="false">0</f>
        <v>0</v>
      </c>
      <c r="D10" s="18" t="n">
        <f aca="false">Pools!D46*Assumptions!$B$41</f>
        <v>23017.4603913163</v>
      </c>
      <c r="E10" s="18" t="n">
        <f aca="false">Pools!E46*Assumptions!$B$41</f>
        <v>36895.2182929348</v>
      </c>
      <c r="F10" s="18" t="n">
        <f aca="false">Pools!F46*Assumptions!$B$41</f>
        <v>50947.875541162</v>
      </c>
      <c r="G10" s="18" t="n">
        <f aca="false">Pools!G46*Assumptions!$B$41</f>
        <v>62973.1607051711</v>
      </c>
    </row>
    <row r="11" customFormat="false" ht="15" hidden="false" customHeight="false" outlineLevel="0" collapsed="false">
      <c r="A11" s="22" t="s">
        <v>664</v>
      </c>
      <c r="B11" s="67"/>
      <c r="C11" s="75" t="n">
        <f aca="false">C9+C10</f>
        <v>0</v>
      </c>
      <c r="D11" s="75" t="n">
        <f aca="false">D9+D10</f>
        <v>48704.9603913163</v>
      </c>
      <c r="E11" s="75" t="n">
        <f aca="false">E9+E10</f>
        <v>67532.7182929348</v>
      </c>
      <c r="F11" s="75" t="n">
        <f aca="false">F9+F10</f>
        <v>88785.375541162</v>
      </c>
      <c r="G11" s="75" t="n">
        <f aca="false">G9+G10</f>
        <v>100810.660705171</v>
      </c>
    </row>
    <row r="12" customFormat="false" ht="15" hidden="false" customHeight="false" outlineLevel="0" collapsed="false">
      <c r="A12" s="14" t="s">
        <v>665</v>
      </c>
      <c r="B12" s="67" t="s">
        <v>666</v>
      </c>
      <c r="C12" s="18" t="n">
        <f aca="false">Pools!C48*Assumptions!$B$42</f>
        <v>2572.629549484</v>
      </c>
      <c r="D12" s="18" t="n">
        <f aca="false">Pools!D48*Assumptions!$B$42</f>
        <v>7973.96366513395</v>
      </c>
      <c r="E12" s="18" t="n">
        <f aca="false">Pools!E48*Assumptions!$B$42</f>
        <v>13998.9908037633</v>
      </c>
      <c r="F12" s="18" t="n">
        <f aca="false">Pools!F48*Assumptions!$B$42</f>
        <v>20759.2539549874</v>
      </c>
      <c r="G12" s="18" t="n">
        <f aca="false">Pools!G48*Assumptions!$B$42</f>
        <v>27644.395009727</v>
      </c>
    </row>
    <row r="13" customFormat="false" ht="15" hidden="false" customHeight="false" outlineLevel="0" collapsed="false">
      <c r="A13" s="22" t="s">
        <v>667</v>
      </c>
      <c r="B13" s="67"/>
      <c r="C13" s="76" t="n">
        <f aca="false">C8+C11-C25</f>
        <v>20000</v>
      </c>
      <c r="D13" s="76" t="n">
        <f aca="false">D8+D11-D25</f>
        <v>150704.960391316</v>
      </c>
      <c r="E13" s="76" t="n">
        <f aca="false">E8+E11-E25</f>
        <v>139532.718292935</v>
      </c>
      <c r="F13" s="76" t="n">
        <f aca="false">F8+F11-F25</f>
        <v>160785.375541162</v>
      </c>
      <c r="G13" s="76" t="n">
        <f aca="false">G8+G11-G25</f>
        <v>172810.660705171</v>
      </c>
    </row>
    <row r="15" customFormat="false" ht="15" hidden="false" customHeight="false" outlineLevel="0" collapsed="false">
      <c r="A15" s="40" t="s">
        <v>668</v>
      </c>
      <c r="B15" s="41"/>
      <c r="C15" s="41"/>
      <c r="D15" s="41"/>
      <c r="E15" s="41"/>
      <c r="F15" s="41"/>
      <c r="G15" s="41"/>
    </row>
    <row r="16" customFormat="false" ht="15" hidden="false" customHeight="false" outlineLevel="0" collapsed="false">
      <c r="A16" s="14" t="s">
        <v>669</v>
      </c>
      <c r="B16" s="67" t="s">
        <v>670</v>
      </c>
      <c r="C16" s="53" t="n">
        <f aca="false">Yearly_Inputs!$B$9*Yearly_Inputs!$B$10*C8</f>
        <v>20000</v>
      </c>
      <c r="D16" s="53" t="n">
        <f aca="false">Yearly_Inputs!$B$9*Yearly_Inputs!$B$10*D8+Yearly_Inputs!$C$9*Yearly_Inputs!$C$10*C8</f>
        <v>126000</v>
      </c>
      <c r="E16" s="53" t="n">
        <f aca="false">Yearly_Inputs!$B$9*Yearly_Inputs!$B$10*E8+Yearly_Inputs!$C$9*Yearly_Inputs!$C$10*D8+Yearly_Inputs!$D$9*Yearly_Inputs!$D$10*C8</f>
        <v>218400</v>
      </c>
      <c r="F16" s="53" t="n">
        <f aca="false">Yearly_Inputs!$B$9*Yearly_Inputs!$B$10*F8+Yearly_Inputs!$C$9*Yearly_Inputs!$C$10*E8+Yearly_Inputs!$D$9*Yearly_Inputs!$D$10*D8+Yearly_Inputs!$E$9*Yearly_Inputs!$E$10*C8</f>
        <v>304800</v>
      </c>
      <c r="G16" s="53" t="n">
        <f aca="false">Yearly_Inputs!$B$9*Yearly_Inputs!$B$10*G8+Yearly_Inputs!$C$9*Yearly_Inputs!$C$10*F8+Yearly_Inputs!$D$9*Yearly_Inputs!$D$10*E8+Yearly_Inputs!$E$9*Yearly_Inputs!$E$10*D8+Yearly_Inputs!$F$9*Yearly_Inputs!$F$10*C8</f>
        <v>391200</v>
      </c>
    </row>
    <row r="17" customFormat="false" ht="15" hidden="false" customHeight="false" outlineLevel="0" collapsed="false">
      <c r="A17" s="14" t="s">
        <v>671</v>
      </c>
      <c r="B17" s="67" t="s">
        <v>670</v>
      </c>
      <c r="C17" s="53" t="n">
        <f aca="false">Yearly_Inputs!$B$9*Yearly_Inputs!$B$10*C11</f>
        <v>0</v>
      </c>
      <c r="D17" s="53" t="n">
        <f aca="false">Yearly_Inputs!$B$9*Yearly_Inputs!$B$10*D11+Yearly_Inputs!$C$9*Yearly_Inputs!$C$10*C11</f>
        <v>48704.9603913163</v>
      </c>
      <c r="E17" s="53" t="n">
        <f aca="false">Yearly_Inputs!$B$9*Yearly_Inputs!$B$10*E11+Yearly_Inputs!$C$9*Yearly_Inputs!$C$10*D11+Yearly_Inputs!$D$9*Yearly_Inputs!$D$10*C11</f>
        <v>125978.670762514</v>
      </c>
      <c r="F17" s="53" t="n">
        <f aca="false">Yearly_Inputs!$B$9*Yearly_Inputs!$B$10*F11+Yearly_Inputs!$C$9*Yearly_Inputs!$C$10*E11+Yearly_Inputs!$D$9*Yearly_Inputs!$D$10*D11+Yearly_Inputs!$E$9*Yearly_Inputs!$E$10*C11</f>
        <v>228270.589962263</v>
      </c>
      <c r="G17" s="53" t="n">
        <f aca="false">Yearly_Inputs!$B$9*Yearly_Inputs!$B$10*G11+Yearly_Inputs!$C$9*Yearly_Inputs!$C$10*F11+Yearly_Inputs!$D$9*Yearly_Inputs!$D$10*E11+Yearly_Inputs!$E$9*Yearly_Inputs!$E$10*D11+Yearly_Inputs!$F$9*Yearly_Inputs!$F$10*C11</f>
        <v>346838.325775667</v>
      </c>
    </row>
    <row r="18" customFormat="false" ht="15" hidden="false" customHeight="false" outlineLevel="0" collapsed="false">
      <c r="A18" s="22" t="s">
        <v>672</v>
      </c>
      <c r="B18" s="67"/>
      <c r="C18" s="76" t="n">
        <f aca="false">C16+C17-C37</f>
        <v>20000</v>
      </c>
      <c r="D18" s="76" t="n">
        <f aca="false">D16+D17-D37</f>
        <v>174704.960391316</v>
      </c>
      <c r="E18" s="76" t="n">
        <f aca="false">E16+E17-E37</f>
        <v>344378.670762514</v>
      </c>
      <c r="F18" s="76" t="n">
        <f aca="false">F16+F17-F37</f>
        <v>533070.589962263</v>
      </c>
      <c r="G18" s="76" t="n">
        <f aca="false">G16+G17-G37</f>
        <v>738038.325775667</v>
      </c>
    </row>
    <row r="19" customFormat="false" ht="15" hidden="false" customHeight="false" outlineLevel="0" collapsed="false">
      <c r="A19" s="14" t="s">
        <v>673</v>
      </c>
      <c r="B19" s="67" t="s">
        <v>666</v>
      </c>
      <c r="C19" s="53" t="n">
        <f aca="false">Yearly_Inputs!$B$9*Yearly_Inputs!$B$10*C12</f>
        <v>2572.629549484</v>
      </c>
      <c r="D19" s="53" t="n">
        <f aca="false">Yearly_Inputs!$B$9*Yearly_Inputs!$B$10*D12+Yearly_Inputs!$C$9*Yearly_Inputs!$C$10*C12</f>
        <v>11061.1191245147</v>
      </c>
      <c r="E19" s="53" t="n">
        <f aca="false">Yearly_Inputs!$B$9*Yearly_Inputs!$B$10*E12+Yearly_Inputs!$C$9*Yearly_Inputs!$C$10*D12+Yearly_Inputs!$D$9*Yearly_Inputs!$D$10*C12</f>
        <v>26654.9026613048</v>
      </c>
      <c r="F19" s="53" t="n">
        <f aca="false">Yearly_Inputs!$B$9*Yearly_Inputs!$B$10*F12+Yearly_Inputs!$C$9*Yearly_Inputs!$C$10*E12+Yearly_Inputs!$D$9*Yearly_Inputs!$D$10*D12+Yearly_Inputs!$E$9*Yearly_Inputs!$E$10*C12</f>
        <v>50213.9547770449</v>
      </c>
      <c r="G19" s="53" t="n">
        <f aca="false">Yearly_Inputs!$B$9*Yearly_Inputs!$B$10*G12+Yearly_Inputs!$C$9*Yearly_Inputs!$C$10*F12+Yearly_Inputs!$D$9*Yearly_Inputs!$D$10*E12+Yearly_Inputs!$E$9*Yearly_Inputs!$E$10*D12+Yearly_Inputs!$F$9*Yearly_Inputs!$F$10*C12</f>
        <v>82010.2005777694</v>
      </c>
    </row>
    <row r="20" customFormat="false" ht="15" hidden="false" customHeight="false" outlineLevel="0" collapsed="false">
      <c r="A20" s="22" t="s">
        <v>674</v>
      </c>
      <c r="B20" s="67"/>
      <c r="C20" s="75" t="n">
        <f aca="false">C18+C19+C38+C39+C40+C46</f>
        <v>39926.504549484</v>
      </c>
      <c r="D20" s="75" t="n">
        <f aca="false">D18+D19+D38+D39+D40+D46</f>
        <v>249652.354515831</v>
      </c>
      <c r="E20" s="75" t="n">
        <f aca="false">E18+E19+E38+E39+E40+E46</f>
        <v>499086.173423819</v>
      </c>
      <c r="F20" s="75" t="n">
        <f aca="false">F18+F19+F38+F39+F40+F46</f>
        <v>782063.569739308</v>
      </c>
      <c r="G20" s="75" t="n">
        <f aca="false">G18+G19+G38+G39+G40+G46</f>
        <v>1087212.55135344</v>
      </c>
    </row>
    <row r="23" customFormat="false" ht="15" hidden="false" customHeight="false" outlineLevel="0" collapsed="false">
      <c r="A23" s="57" t="s">
        <v>675</v>
      </c>
      <c r="B23" s="58"/>
      <c r="C23" s="58"/>
      <c r="D23" s="58"/>
      <c r="E23" s="58"/>
      <c r="F23" s="58"/>
      <c r="G23" s="58"/>
    </row>
    <row r="24" customFormat="false" ht="15" hidden="false" customHeight="false" outlineLevel="0" collapsed="false">
      <c r="A24" s="77" t="s">
        <v>676</v>
      </c>
      <c r="B24" s="67"/>
      <c r="C24" s="50" t="n">
        <f aca="false">Assumptions!$B$67</f>
        <v>1</v>
      </c>
      <c r="D24" s="50" t="n">
        <f aca="false">Assumptions!$B$68</f>
        <v>0.25</v>
      </c>
      <c r="E24" s="50" t="n">
        <f aca="false">Assumptions!$B$68</f>
        <v>0.25</v>
      </c>
      <c r="F24" s="50" t="n">
        <f aca="false">Assumptions!$B$68</f>
        <v>0.25</v>
      </c>
      <c r="G24" s="50" t="n">
        <f aca="false">Assumptions!$B$68</f>
        <v>0.25</v>
      </c>
    </row>
    <row r="25" customFormat="false" ht="15" hidden="false" customHeight="false" outlineLevel="0" collapsed="false">
      <c r="A25" s="77" t="s">
        <v>677</v>
      </c>
      <c r="B25" s="67" t="s">
        <v>678</v>
      </c>
      <c r="C25" s="53" t="n">
        <f aca="false">MIN(Assumptions!$B$66*Benefits!C33,C24*(C8+C11))</f>
        <v>0</v>
      </c>
      <c r="D25" s="53" t="n">
        <f aca="false">MIN(Assumptions!$B$66*Benefits!D33,D24*(D8+D11))</f>
        <v>0</v>
      </c>
      <c r="E25" s="53" t="n">
        <f aca="false">MIN(Assumptions!$B$66*Benefits!E33,E24*(E8+E11))</f>
        <v>0</v>
      </c>
      <c r="F25" s="53" t="n">
        <f aca="false">MIN(Assumptions!$B$66*Benefits!F33,F24*(F8+F11))</f>
        <v>0</v>
      </c>
      <c r="G25" s="53" t="n">
        <f aca="false">MIN(Assumptions!$B$66*Benefits!G33,G24*(G8+G11))</f>
        <v>0</v>
      </c>
    </row>
    <row r="26" customFormat="false" ht="15" hidden="false" customHeight="false" outlineLevel="0" collapsed="false">
      <c r="A26" s="77" t="s">
        <v>679</v>
      </c>
      <c r="B26" s="67" t="s">
        <v>678</v>
      </c>
      <c r="C26" s="53" t="n">
        <f aca="false">MIN(Assumptions!$B$66*Yearly_Inputs!$C$10*Benefits!C33,C24*Yearly_Inputs!$C$10*(C8+C11))</f>
        <v>0</v>
      </c>
      <c r="D26" s="53" t="n">
        <f aca="false">MIN(Assumptions!$B$66*Yearly_Inputs!$C$10*Benefits!D33,D24*Yearly_Inputs!$C$10*(D8+D11))</f>
        <v>0</v>
      </c>
      <c r="E26" s="53" t="n">
        <f aca="false">MIN(Assumptions!$B$66*Yearly_Inputs!$C$10*Benefits!E33,E24*Yearly_Inputs!$C$10*(E8+E11))</f>
        <v>0</v>
      </c>
      <c r="F26" s="53" t="n">
        <f aca="false">MIN(Assumptions!$B$66*Yearly_Inputs!$C$10*Benefits!F33,F24*Yearly_Inputs!$C$10*(F8+F11))</f>
        <v>0</v>
      </c>
      <c r="G26" s="53" t="n">
        <f aca="false">MIN(Assumptions!$B$66*Yearly_Inputs!$C$10*Benefits!G33,G24*Yearly_Inputs!$C$10*(G8+G11))</f>
        <v>0</v>
      </c>
    </row>
    <row r="27" customFormat="false" ht="15" hidden="false" customHeight="false" outlineLevel="0" collapsed="false">
      <c r="A27" s="77" t="s">
        <v>680</v>
      </c>
      <c r="B27" s="67" t="s">
        <v>666</v>
      </c>
      <c r="C27" s="53" t="n">
        <f aca="false">Assumptions!$B$80*Assumptions!$B$81*12*Pools!C9</f>
        <v>12000</v>
      </c>
      <c r="D27" s="53" t="n">
        <f aca="false">Assumptions!$B$80*Assumptions!$B$81*12*Pools!D9</f>
        <v>24000</v>
      </c>
      <c r="E27" s="53" t="n">
        <f aca="false">Assumptions!$B$80*Assumptions!$B$81*12*Pools!E9</f>
        <v>24000</v>
      </c>
      <c r="F27" s="53" t="n">
        <f aca="false">Assumptions!$B$80*Assumptions!$B$81*12*Pools!F9</f>
        <v>24000</v>
      </c>
      <c r="G27" s="53" t="n">
        <f aca="false">Assumptions!$B$80*Assumptions!$B$81*12*Pools!G9</f>
        <v>24000</v>
      </c>
    </row>
    <row r="28" customFormat="false" ht="15" hidden="false" customHeight="false" outlineLevel="0" collapsed="false">
      <c r="A28" s="77" t="s">
        <v>681</v>
      </c>
      <c r="B28" s="67" t="s">
        <v>682</v>
      </c>
      <c r="C28" s="53" t="n">
        <f aca="false">Pools!C28*Assumptions!$B$82*12</f>
        <v>4500</v>
      </c>
      <c r="D28" s="53" t="n">
        <f aca="false">Pools!D28*Assumptions!$B$82*12</f>
        <v>16500</v>
      </c>
      <c r="E28" s="53" t="n">
        <f aca="false">Pools!E28*Assumptions!$B$82*12</f>
        <v>27000</v>
      </c>
      <c r="F28" s="53" t="n">
        <f aca="false">Pools!F28*Assumptions!$B$82*12</f>
        <v>28500</v>
      </c>
      <c r="G28" s="53" t="n">
        <f aca="false">Pools!G28*Assumptions!$B$82*12</f>
        <v>22500</v>
      </c>
    </row>
    <row r="29" customFormat="false" ht="15" hidden="false" customHeight="false" outlineLevel="0" collapsed="false">
      <c r="A29" s="77" t="s">
        <v>683</v>
      </c>
      <c r="B29" s="67" t="s">
        <v>684</v>
      </c>
      <c r="C29" s="53" t="n">
        <f aca="false">Pools!C63*Assumptions!$B$78*Assumptions!$B$52*Assumptions!$B$79</f>
        <v>853.875</v>
      </c>
      <c r="D29" s="53" t="n">
        <f aca="false">Pools!D63*Assumptions!$B$78*Assumptions!$B$52*Assumptions!$B$79</f>
        <v>2561.625</v>
      </c>
      <c r="E29" s="53" t="n">
        <f aca="false">Pools!E63*Assumptions!$B$78*Assumptions!$B$52*Assumptions!$B$79</f>
        <v>4554</v>
      </c>
      <c r="F29" s="53" t="n">
        <f aca="false">Pools!F63*Assumptions!$B$78*Assumptions!$B$52*Assumptions!$B$79</f>
        <v>7115.625</v>
      </c>
      <c r="G29" s="53" t="n">
        <f aca="false">Pools!G63*Assumptions!$B$78*Assumptions!$B$52*Assumptions!$B$79</f>
        <v>9961.875</v>
      </c>
    </row>
    <row r="31" customFormat="false" ht="15" hidden="false" customHeight="false" outlineLevel="0" collapsed="false">
      <c r="A31" s="57" t="s">
        <v>685</v>
      </c>
      <c r="B31" s="58"/>
      <c r="C31" s="58"/>
      <c r="D31" s="58"/>
      <c r="E31" s="58"/>
      <c r="F31" s="58"/>
      <c r="G31" s="58"/>
    </row>
    <row r="32" customFormat="false" ht="15" hidden="false" customHeight="false" outlineLevel="0" collapsed="false">
      <c r="A32" s="77" t="s">
        <v>686</v>
      </c>
      <c r="B32" s="67" t="s">
        <v>687</v>
      </c>
      <c r="C32" s="53" t="n">
        <f aca="false">Yearly_Inputs!$B$9*MIN(Assumptions!$B$66*Yearly_Inputs!$B$10*Benefits!C33,C24*Yearly_Inputs!$B$10*(C8+C11))</f>
        <v>0</v>
      </c>
      <c r="D32" s="53" t="n">
        <f aca="false">Yearly_Inputs!$B$9*MIN(Assumptions!$B$66*Yearly_Inputs!$B$10*Benefits!D33,D24*Yearly_Inputs!$B$10*(D8+D11))</f>
        <v>0</v>
      </c>
      <c r="E32" s="53" t="n">
        <f aca="false">Yearly_Inputs!$B$9*MIN(Assumptions!$B$66*Yearly_Inputs!$B$10*Benefits!E33,E24*Yearly_Inputs!$B$10*(E8+E11))</f>
        <v>0</v>
      </c>
      <c r="F32" s="53" t="n">
        <f aca="false">Yearly_Inputs!$B$9*MIN(Assumptions!$B$66*Yearly_Inputs!$B$10*Benefits!F33,F24*Yearly_Inputs!$B$10*(F8+F11))</f>
        <v>0</v>
      </c>
      <c r="G32" s="53" t="n">
        <f aca="false">Yearly_Inputs!$B$9*MIN(Assumptions!$B$66*Yearly_Inputs!$B$10*Benefits!G33,G24*Yearly_Inputs!$B$10*(G8+G11))</f>
        <v>0</v>
      </c>
    </row>
    <row r="33" customFormat="false" ht="15" hidden="false" customHeight="false" outlineLevel="0" collapsed="false">
      <c r="A33" s="77" t="s">
        <v>688</v>
      </c>
      <c r="B33" s="67" t="s">
        <v>687</v>
      </c>
      <c r="C33" s="53" t="n">
        <f aca="false">0</f>
        <v>0</v>
      </c>
      <c r="D33" s="53" t="n">
        <f aca="false">Yearly_Inputs!$C$9*MIN(Assumptions!$B$66*Yearly_Inputs!$C$10*Benefits!C33,C24*Yearly_Inputs!$C$10*(C8+C11))</f>
        <v>0</v>
      </c>
      <c r="E33" s="53" t="n">
        <f aca="false">Yearly_Inputs!$C$9*MIN(Assumptions!$B$66*Yearly_Inputs!$C$10*Benefits!D33,D24*Yearly_Inputs!$C$10*(D8+D11))</f>
        <v>0</v>
      </c>
      <c r="F33" s="53" t="n">
        <f aca="false">Yearly_Inputs!$C$9*MIN(Assumptions!$B$66*Yearly_Inputs!$C$10*Benefits!E33,E24*Yearly_Inputs!$C$10*(E8+E11))</f>
        <v>0</v>
      </c>
      <c r="G33" s="53" t="n">
        <f aca="false">Yearly_Inputs!$C$9*MIN(Assumptions!$B$66*Yearly_Inputs!$C$10*Benefits!F33,F24*Yearly_Inputs!$C$10*(F8+F11))</f>
        <v>0</v>
      </c>
    </row>
    <row r="34" customFormat="false" ht="15" hidden="false" customHeight="false" outlineLevel="0" collapsed="false">
      <c r="A34" s="77" t="s">
        <v>689</v>
      </c>
      <c r="B34" s="67" t="s">
        <v>687</v>
      </c>
      <c r="C34" s="53" t="n">
        <f aca="false">0</f>
        <v>0</v>
      </c>
      <c r="D34" s="53" t="n">
        <f aca="false">0</f>
        <v>0</v>
      </c>
      <c r="E34" s="53" t="n">
        <f aca="false">Yearly_Inputs!$D$9*MIN(Assumptions!$B$66*Yearly_Inputs!$D$10*Benefits!C33,C24*Yearly_Inputs!$D$10*(C8+C11))</f>
        <v>0</v>
      </c>
      <c r="F34" s="53" t="n">
        <f aca="false">Yearly_Inputs!$D$9*MIN(Assumptions!$B$66*Yearly_Inputs!$D$10*Benefits!D33,D24*Yearly_Inputs!$D$10*(D8+D11))</f>
        <v>0</v>
      </c>
      <c r="G34" s="53" t="n">
        <f aca="false">Yearly_Inputs!$D$9*MIN(Assumptions!$B$66*Yearly_Inputs!$D$10*Benefits!E33,E24*Yearly_Inputs!$D$10*(E8+E11))</f>
        <v>0</v>
      </c>
    </row>
    <row r="35" customFormat="false" ht="15" hidden="false" customHeight="false" outlineLevel="0" collapsed="false">
      <c r="A35" s="77" t="s">
        <v>690</v>
      </c>
      <c r="B35" s="67" t="s">
        <v>687</v>
      </c>
      <c r="C35" s="53" t="n">
        <f aca="false">0</f>
        <v>0</v>
      </c>
      <c r="D35" s="53" t="n">
        <f aca="false">0</f>
        <v>0</v>
      </c>
      <c r="E35" s="53" t="n">
        <f aca="false">0</f>
        <v>0</v>
      </c>
      <c r="F35" s="53" t="n">
        <f aca="false">Yearly_Inputs!$E$9*MIN(Assumptions!$B$66*Yearly_Inputs!$E$10*Benefits!C33,C24*Yearly_Inputs!$E$10*(C8+C11))</f>
        <v>0</v>
      </c>
      <c r="G35" s="53" t="n">
        <f aca="false">Yearly_Inputs!$E$9*MIN(Assumptions!$B$66*Yearly_Inputs!$E$10*Benefits!D33,D24*Yearly_Inputs!$E$10*(D8+D11))</f>
        <v>0</v>
      </c>
    </row>
    <row r="36" customFormat="false" ht="15" hidden="false" customHeight="false" outlineLevel="0" collapsed="false">
      <c r="A36" s="77" t="s">
        <v>691</v>
      </c>
      <c r="B36" s="67" t="s">
        <v>687</v>
      </c>
      <c r="C36" s="53" t="n">
        <f aca="false">0</f>
        <v>0</v>
      </c>
      <c r="D36" s="53" t="n">
        <f aca="false">0</f>
        <v>0</v>
      </c>
      <c r="E36" s="53" t="n">
        <f aca="false">0</f>
        <v>0</v>
      </c>
      <c r="F36" s="53" t="n">
        <f aca="false">0</f>
        <v>0</v>
      </c>
      <c r="G36" s="53" t="n">
        <f aca="false">Yearly_Inputs!$F$9*MIN(Assumptions!$B$66*Yearly_Inputs!$F$10*Benefits!C33,C24*Yearly_Inputs!$F$10*(C8+C11))</f>
        <v>0</v>
      </c>
    </row>
    <row r="37" customFormat="false" ht="15" hidden="false" customHeight="false" outlineLevel="0" collapsed="false">
      <c r="A37" s="57" t="s">
        <v>692</v>
      </c>
      <c r="B37" s="67" t="s">
        <v>687</v>
      </c>
      <c r="C37" s="76" t="n">
        <f aca="false">SUM(C32:C36)</f>
        <v>0</v>
      </c>
      <c r="D37" s="76" t="n">
        <f aca="false">SUM(D32:D36)</f>
        <v>0</v>
      </c>
      <c r="E37" s="76" t="n">
        <f aca="false">SUM(E32:E36)</f>
        <v>0</v>
      </c>
      <c r="F37" s="76" t="n">
        <f aca="false">SUM(F32:F36)</f>
        <v>0</v>
      </c>
      <c r="G37" s="76" t="n">
        <f aca="false">SUM(G32:G36)</f>
        <v>0</v>
      </c>
    </row>
    <row r="38" customFormat="false" ht="15" hidden="false" customHeight="false" outlineLevel="0" collapsed="false">
      <c r="A38" s="77" t="s">
        <v>693</v>
      </c>
      <c r="B38" s="67" t="s">
        <v>666</v>
      </c>
      <c r="C38" s="53" t="n">
        <f aca="false">Yearly_Inputs!$B$9*Yearly_Inputs!$B$10*C27</f>
        <v>12000</v>
      </c>
      <c r="D38" s="53" t="n">
        <f aca="false">Yearly_Inputs!$B$9*Yearly_Inputs!$B$10*D27+Yearly_Inputs!$C$9*Yearly_Inputs!$C$10*C27</f>
        <v>38400</v>
      </c>
      <c r="E38" s="53" t="n">
        <f aca="false">Yearly_Inputs!$B$9*Yearly_Inputs!$B$10*E27+Yearly_Inputs!$C$9*Yearly_Inputs!$C$10*D27+Yearly_Inputs!$D$9*Yearly_Inputs!$D$10*C27</f>
        <v>67200</v>
      </c>
      <c r="F38" s="53" t="n">
        <f aca="false">Yearly_Inputs!$B$9*Yearly_Inputs!$B$10*F27+Yearly_Inputs!$C$9*Yearly_Inputs!$C$10*E27+Yearly_Inputs!$D$9*Yearly_Inputs!$D$10*D27+Yearly_Inputs!$E$9*Yearly_Inputs!$E$10*C27</f>
        <v>96000</v>
      </c>
      <c r="G38" s="53" t="n">
        <f aca="false">Yearly_Inputs!$B$9*Yearly_Inputs!$B$10*G27+Yearly_Inputs!$C$9*Yearly_Inputs!$C$10*F27+Yearly_Inputs!$D$9*Yearly_Inputs!$D$10*E27+Yearly_Inputs!$E$9*Yearly_Inputs!$E$10*D27+Yearly_Inputs!$F$9*Yearly_Inputs!$F$10*C27</f>
        <v>124800</v>
      </c>
    </row>
    <row r="39" customFormat="false" ht="15" hidden="false" customHeight="false" outlineLevel="0" collapsed="false">
      <c r="A39" s="77" t="s">
        <v>694</v>
      </c>
      <c r="B39" s="67" t="s">
        <v>682</v>
      </c>
      <c r="C39" s="53" t="n">
        <f aca="false">Yearly_Inputs!$B$9*Yearly_Inputs!$B$10*C28</f>
        <v>4500</v>
      </c>
      <c r="D39" s="53" t="n">
        <f aca="false">Yearly_Inputs!$B$9*Yearly_Inputs!$B$10*D28+Yearly_Inputs!$C$9*Yearly_Inputs!$C$10*C28</f>
        <v>21900</v>
      </c>
      <c r="E39" s="53" t="n">
        <f aca="false">Yearly_Inputs!$B$9*Yearly_Inputs!$B$10*E28+Yearly_Inputs!$C$9*Yearly_Inputs!$C$10*D28+Yearly_Inputs!$D$9*Yearly_Inputs!$D$10*C28</f>
        <v>52200</v>
      </c>
      <c r="F39" s="53" t="n">
        <f aca="false">Yearly_Inputs!$B$9*Yearly_Inputs!$B$10*F28+Yearly_Inputs!$C$9*Yearly_Inputs!$C$10*E28+Yearly_Inputs!$D$9*Yearly_Inputs!$D$10*D28+Yearly_Inputs!$E$9*Yearly_Inputs!$E$10*C28</f>
        <v>86100</v>
      </c>
      <c r="G39" s="53" t="n">
        <f aca="false">Yearly_Inputs!$B$9*Yearly_Inputs!$B$10*G28+Yearly_Inputs!$C$9*Yearly_Inputs!$C$10*F28+Yearly_Inputs!$D$9*Yearly_Inputs!$D$10*E28+Yearly_Inputs!$E$9*Yearly_Inputs!$E$10*D28+Yearly_Inputs!$F$9*Yearly_Inputs!$F$10*C28</f>
        <v>114300</v>
      </c>
    </row>
    <row r="40" customFormat="false" ht="15" hidden="false" customHeight="false" outlineLevel="0" collapsed="false">
      <c r="A40" s="77" t="s">
        <v>695</v>
      </c>
      <c r="B40" s="67" t="s">
        <v>684</v>
      </c>
      <c r="C40" s="53" t="n">
        <f aca="false">Yearly_Inputs!$B$9*Yearly_Inputs!$B$10*C29</f>
        <v>853.875</v>
      </c>
      <c r="D40" s="53" t="n">
        <f aca="false">Yearly_Inputs!$B$9*Yearly_Inputs!$B$10*D29+Yearly_Inputs!$C$9*Yearly_Inputs!$C$10*C29</f>
        <v>3586.275</v>
      </c>
      <c r="E40" s="53" t="n">
        <f aca="false">Yearly_Inputs!$B$9*Yearly_Inputs!$B$10*E29+Yearly_Inputs!$C$9*Yearly_Inputs!$C$10*D29+Yearly_Inputs!$D$9*Yearly_Inputs!$D$10*C29</f>
        <v>8652.6</v>
      </c>
      <c r="F40" s="53" t="n">
        <f aca="false">Yearly_Inputs!$B$9*Yearly_Inputs!$B$10*F29+Yearly_Inputs!$C$9*Yearly_Inputs!$C$10*E29+Yearly_Inputs!$D$9*Yearly_Inputs!$D$10*D29+Yearly_Inputs!$E$9*Yearly_Inputs!$E$10*C29</f>
        <v>16679.025</v>
      </c>
      <c r="G40" s="53" t="n">
        <f aca="false">Yearly_Inputs!$B$9*Yearly_Inputs!$B$10*G29+Yearly_Inputs!$C$9*Yearly_Inputs!$C$10*F29+Yearly_Inputs!$D$9*Yearly_Inputs!$D$10*E29+Yearly_Inputs!$E$9*Yearly_Inputs!$E$10*D29+Yearly_Inputs!$F$9*Yearly_Inputs!$F$10*C29</f>
        <v>28064.025</v>
      </c>
    </row>
    <row r="42" customFormat="false" ht="15" hidden="false" customHeight="false" outlineLevel="0" collapsed="false">
      <c r="A42" s="57" t="s">
        <v>696</v>
      </c>
      <c r="B42" s="58"/>
      <c r="C42" s="58"/>
      <c r="D42" s="58"/>
      <c r="E42" s="58"/>
      <c r="F42" s="58"/>
      <c r="G42" s="58"/>
    </row>
    <row r="43" customFormat="false" ht="15" hidden="false" customHeight="false" outlineLevel="0" collapsed="false">
      <c r="A43" s="77" t="s">
        <v>697</v>
      </c>
      <c r="B43" s="67" t="s">
        <v>698</v>
      </c>
      <c r="C43" s="53" t="n">
        <f aca="false">Pools!C72</f>
        <v>0</v>
      </c>
      <c r="D43" s="53" t="n">
        <f aca="false">Pools!D72</f>
        <v>0</v>
      </c>
      <c r="E43" s="53" t="n">
        <f aca="false">Pools!E72</f>
        <v>0</v>
      </c>
      <c r="F43" s="53" t="n">
        <f aca="false">Pools!F72</f>
        <v>0</v>
      </c>
      <c r="G43" s="53" t="n">
        <f aca="false">Pools!G72</f>
        <v>0</v>
      </c>
    </row>
    <row r="44" customFormat="false" ht="15" hidden="false" customHeight="false" outlineLevel="0" collapsed="false">
      <c r="A44" s="77" t="s">
        <v>699</v>
      </c>
      <c r="B44" s="67" t="s">
        <v>700</v>
      </c>
      <c r="C44" s="53" t="n">
        <f aca="false">-Pools!C73</f>
        <v>-0</v>
      </c>
      <c r="D44" s="53" t="n">
        <f aca="false">-Pools!D73</f>
        <v>-0</v>
      </c>
      <c r="E44" s="53" t="n">
        <f aca="false">-Pools!E73</f>
        <v>-0</v>
      </c>
      <c r="F44" s="53" t="n">
        <f aca="false">-Pools!F73</f>
        <v>-0</v>
      </c>
      <c r="G44" s="53" t="n">
        <f aca="false">-Pools!G73</f>
        <v>-0</v>
      </c>
    </row>
    <row r="45" customFormat="false" ht="15" hidden="false" customHeight="false" outlineLevel="0" collapsed="false">
      <c r="A45" s="57" t="s">
        <v>701</v>
      </c>
      <c r="B45" s="67"/>
      <c r="C45" s="76" t="n">
        <f aca="false">C43+C44</f>
        <v>0</v>
      </c>
      <c r="D45" s="76" t="n">
        <f aca="false">D43+D44</f>
        <v>0</v>
      </c>
      <c r="E45" s="76" t="n">
        <f aca="false">E43+E44</f>
        <v>0</v>
      </c>
      <c r="F45" s="76" t="n">
        <f aca="false">F43+F44</f>
        <v>0</v>
      </c>
      <c r="G45" s="76" t="n">
        <f aca="false">G43+G44</f>
        <v>0</v>
      </c>
    </row>
    <row r="46" customFormat="false" ht="15" hidden="false" customHeight="false" outlineLevel="0" collapsed="false">
      <c r="A46" s="57" t="s">
        <v>702</v>
      </c>
      <c r="B46" s="67"/>
      <c r="C46" s="76" t="n">
        <f aca="false">Yearly_Inputs!$B$9*Yearly_Inputs!$B$10*C45</f>
        <v>0</v>
      </c>
      <c r="D46" s="76" t="n">
        <f aca="false">Yearly_Inputs!$B$9*Yearly_Inputs!$B$10*D45+Yearly_Inputs!$C$9*Yearly_Inputs!$C$10*C45</f>
        <v>0</v>
      </c>
      <c r="E46" s="76" t="n">
        <f aca="false">Yearly_Inputs!$B$9*Yearly_Inputs!$B$10*E45+Yearly_Inputs!$C$9*Yearly_Inputs!$C$10*D45+Yearly_Inputs!$D$9*Yearly_Inputs!$D$10*C45</f>
        <v>0</v>
      </c>
      <c r="F46" s="76" t="n">
        <f aca="false">Yearly_Inputs!$B$9*Yearly_Inputs!$B$10*F45+Yearly_Inputs!$C$9*Yearly_Inputs!$C$10*E45+Yearly_Inputs!$D$9*Yearly_Inputs!$D$10*D45+Yearly_Inputs!$E$9*Yearly_Inputs!$E$10*C45</f>
        <v>0</v>
      </c>
      <c r="G46" s="76" t="n">
        <f aca="false">Yearly_Inputs!$B$9*Yearly_Inputs!$B$10*G45+Yearly_Inputs!$C$9*Yearly_Inputs!$C$10*F45+Yearly_Inputs!$D$9*Yearly_Inputs!$D$10*E45+Yearly_Inputs!$E$9*Yearly_Inputs!$E$10*D45+Yearly_Inputs!$F$9*Yearly_Inputs!$F$10*C45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2"/>
    <col collapsed="false" customWidth="true" hidden="false" outlineLevel="0" max="7" min="3" style="0" width="14"/>
  </cols>
  <sheetData>
    <row r="1" customFormat="false" ht="17.35" hidden="false" customHeight="false" outlineLevel="0" collapsed="false">
      <c r="A1" s="1" t="s">
        <v>703</v>
      </c>
    </row>
    <row r="2" customFormat="false" ht="15" hidden="false" customHeight="false" outlineLevel="0" collapsed="false">
      <c r="A2" s="2" t="s">
        <v>704</v>
      </c>
    </row>
    <row r="4" customFormat="false" ht="15" hidden="false" customHeight="false" outlineLevel="0" collapsed="false">
      <c r="A4" s="15" t="s">
        <v>447</v>
      </c>
      <c r="B4" s="16"/>
      <c r="C4" s="16" t="s">
        <v>448</v>
      </c>
      <c r="D4" s="16" t="s">
        <v>449</v>
      </c>
      <c r="E4" s="16" t="s">
        <v>450</v>
      </c>
      <c r="F4" s="16" t="s">
        <v>451</v>
      </c>
      <c r="G4" s="16" t="s">
        <v>452</v>
      </c>
    </row>
    <row r="5" customFormat="false" ht="15" hidden="false" customHeight="false" outlineLevel="0" collapsed="false">
      <c r="A5" s="40" t="s">
        <v>705</v>
      </c>
      <c r="B5" s="41"/>
      <c r="C5" s="41"/>
      <c r="D5" s="41"/>
      <c r="E5" s="41"/>
      <c r="F5" s="41"/>
      <c r="G5" s="41"/>
    </row>
    <row r="6" customFormat="false" ht="15" hidden="false" customHeight="false" outlineLevel="0" collapsed="false">
      <c r="A6" s="14" t="s">
        <v>706</v>
      </c>
      <c r="C6" s="18" t="n">
        <f aca="false">Benefits!C12</f>
        <v>157144.649685883</v>
      </c>
      <c r="D6" s="18" t="n">
        <f aca="false">Benefits!D12</f>
        <v>366005.982834205</v>
      </c>
      <c r="E6" s="18" t="n">
        <f aca="false">Benefits!E12</f>
        <v>468163.141744917</v>
      </c>
      <c r="F6" s="18" t="n">
        <f aca="false">Benefits!F12</f>
        <v>565002.770686696</v>
      </c>
      <c r="G6" s="18" t="n">
        <f aca="false">Benefits!G12</f>
        <v>638875.693663814</v>
      </c>
    </row>
    <row r="7" customFormat="false" ht="15" hidden="false" customHeight="false" outlineLevel="0" collapsed="false">
      <c r="A7" s="14" t="s">
        <v>707</v>
      </c>
      <c r="C7" s="18" t="n">
        <f aca="false">Pricing_Income!C13</f>
        <v>20000</v>
      </c>
      <c r="D7" s="18" t="n">
        <f aca="false">Pricing_Income!D13</f>
        <v>150704.960391316</v>
      </c>
      <c r="E7" s="18" t="n">
        <f aca="false">Pricing_Income!E13</f>
        <v>139532.718292935</v>
      </c>
      <c r="F7" s="18" t="n">
        <f aca="false">Pricing_Income!F13</f>
        <v>160785.375541162</v>
      </c>
      <c r="G7" s="18" t="n">
        <f aca="false">Pricing_Income!G13</f>
        <v>172810.660705171</v>
      </c>
    </row>
    <row r="8" customFormat="false" ht="15" hidden="false" customHeight="false" outlineLevel="0" collapsed="false">
      <c r="A8" s="22" t="s">
        <v>708</v>
      </c>
      <c r="C8" s="75" t="n">
        <f aca="false">C6-C7</f>
        <v>137144.649685883</v>
      </c>
      <c r="D8" s="75" t="n">
        <f aca="false">D6-D7</f>
        <v>215301.022442889</v>
      </c>
      <c r="E8" s="75" t="n">
        <f aca="false">E6-E7</f>
        <v>328630.423451982</v>
      </c>
      <c r="F8" s="75" t="n">
        <f aca="false">F6-F7</f>
        <v>404217.395145534</v>
      </c>
      <c r="G8" s="75" t="n">
        <f aca="false">G6-G7</f>
        <v>466065.032958643</v>
      </c>
    </row>
    <row r="9" customFormat="false" ht="15" hidden="false" customHeight="false" outlineLevel="0" collapsed="false">
      <c r="A9" s="22" t="s">
        <v>709</v>
      </c>
      <c r="C9" s="76" t="n">
        <f aca="false">C8</f>
        <v>137144.649685883</v>
      </c>
      <c r="D9" s="76" t="n">
        <f aca="false">C9+D8</f>
        <v>352445.672128772</v>
      </c>
      <c r="E9" s="76" t="n">
        <f aca="false">D9+E8</f>
        <v>681076.095580755</v>
      </c>
      <c r="F9" s="76" t="n">
        <f aca="false">E9+F8</f>
        <v>1085293.49072629</v>
      </c>
      <c r="G9" s="76" t="n">
        <f aca="false">F9+G8</f>
        <v>1551358.52368493</v>
      </c>
    </row>
    <row r="10" customFormat="false" ht="15" hidden="false" customHeight="false" outlineLevel="0" collapsed="false">
      <c r="A10" s="14" t="s">
        <v>710</v>
      </c>
      <c r="C10" s="53" t="n">
        <f aca="false">Benefits!C10-C7</f>
        <v>33144.6496858832</v>
      </c>
      <c r="D10" s="53" t="n">
        <f aca="false">Benefits!D10-D7</f>
        <v>7301.02244288893</v>
      </c>
      <c r="E10" s="53" t="n">
        <f aca="false">Benefits!E10-E7</f>
        <v>120630.423451982</v>
      </c>
      <c r="F10" s="53" t="n">
        <f aca="false">Benefits!F10-F7</f>
        <v>196217.395145534</v>
      </c>
      <c r="G10" s="53" t="n">
        <f aca="false">Benefits!G10-G7</f>
        <v>258065.032958643</v>
      </c>
    </row>
    <row r="11" customFormat="false" ht="15" hidden="false" customHeight="false" outlineLevel="0" collapsed="false">
      <c r="A11" s="14" t="s">
        <v>711</v>
      </c>
      <c r="C11" s="86" t="n">
        <f aca="false">IF(C7&lt;=0,"n/a",C6/C7)</f>
        <v>7.85723248429416</v>
      </c>
      <c r="D11" s="86" t="n">
        <f aca="false">IF(D7&lt;=0,"n/a",D6/D7)</f>
        <v>2.42862598473099</v>
      </c>
      <c r="E11" s="86" t="n">
        <f aca="false">IF(E7&lt;=0,"n/a",E6/E7)</f>
        <v>3.35522125185045</v>
      </c>
      <c r="F11" s="86" t="n">
        <f aca="false">IF(F7&lt;=0,"n/a",F6/F7)</f>
        <v>3.514018416072</v>
      </c>
      <c r="G11" s="86" t="n">
        <f aca="false">IF(G7&lt;=0,"n/a",G6/G7)</f>
        <v>3.69696922086183</v>
      </c>
    </row>
    <row r="13" customFormat="false" ht="15" hidden="false" customHeight="false" outlineLevel="0" collapsed="false">
      <c r="A13" s="40" t="s">
        <v>712</v>
      </c>
      <c r="B13" s="41"/>
      <c r="C13" s="41"/>
      <c r="D13" s="41"/>
      <c r="E13" s="41"/>
      <c r="F13" s="41"/>
      <c r="G13" s="41"/>
    </row>
    <row r="14" customFormat="false" ht="15" hidden="false" customHeight="false" outlineLevel="0" collapsed="false">
      <c r="A14" s="14" t="s">
        <v>706</v>
      </c>
      <c r="C14" s="18" t="n">
        <f aca="false">Benefits!C12*Yearly_Inputs!$C$10</f>
        <v>94286.7898115299</v>
      </c>
      <c r="D14" s="18" t="n">
        <f aca="false">Benefits!D12*Yearly_Inputs!$C$10</f>
        <v>219603.589700523</v>
      </c>
      <c r="E14" s="18" t="n">
        <f aca="false">Benefits!E12*Yearly_Inputs!$C$10</f>
        <v>280897.88504695</v>
      </c>
      <c r="F14" s="18" t="n">
        <f aca="false">Benefits!F12*Yearly_Inputs!$C$10</f>
        <v>339001.662412017</v>
      </c>
      <c r="G14" s="18" t="n">
        <f aca="false">Benefits!G12*Yearly_Inputs!$C$10</f>
        <v>383325.416198288</v>
      </c>
    </row>
    <row r="15" customFormat="false" ht="15" hidden="false" customHeight="false" outlineLevel="0" collapsed="false">
      <c r="A15" s="14" t="s">
        <v>707</v>
      </c>
      <c r="C15" s="18" t="n">
        <f aca="false">(Pricing_Income!C8+Pricing_Income!C11)*Yearly_Inputs!$C$10-Pricing_Income!C26</f>
        <v>12000</v>
      </c>
      <c r="D15" s="18" t="n">
        <f aca="false">(Pricing_Income!D8+Pricing_Income!D11)*Yearly_Inputs!$C$10-Pricing_Income!D26</f>
        <v>90422.9762347898</v>
      </c>
      <c r="E15" s="18" t="n">
        <f aca="false">(Pricing_Income!E8+Pricing_Income!E11)*Yearly_Inputs!$C$10-Pricing_Income!E26</f>
        <v>83719.6309757609</v>
      </c>
      <c r="F15" s="18" t="n">
        <f aca="false">(Pricing_Income!F8+Pricing_Income!F11)*Yearly_Inputs!$C$10-Pricing_Income!F26</f>
        <v>96471.2253246972</v>
      </c>
      <c r="G15" s="18" t="n">
        <f aca="false">(Pricing_Income!G8+Pricing_Income!G11)*Yearly_Inputs!$C$10-Pricing_Income!G26</f>
        <v>103686.396423103</v>
      </c>
    </row>
    <row r="16" customFormat="false" ht="15" hidden="false" customHeight="false" outlineLevel="0" collapsed="false">
      <c r="A16" s="22" t="s">
        <v>708</v>
      </c>
      <c r="C16" s="75" t="n">
        <f aca="false">C14-C15</f>
        <v>82286.7898115299</v>
      </c>
      <c r="D16" s="75" t="n">
        <f aca="false">D14-D15</f>
        <v>129180.613465733</v>
      </c>
      <c r="E16" s="75" t="n">
        <f aca="false">E14-E15</f>
        <v>197178.254071189</v>
      </c>
      <c r="F16" s="75" t="n">
        <f aca="false">F14-F15</f>
        <v>242530.43708732</v>
      </c>
      <c r="G16" s="75" t="n">
        <f aca="false">G14-G15</f>
        <v>279639.019775186</v>
      </c>
    </row>
    <row r="17" customFormat="false" ht="15" hidden="false" customHeight="false" outlineLevel="0" collapsed="false">
      <c r="A17" s="14" t="s">
        <v>710</v>
      </c>
      <c r="C17" s="53" t="n">
        <f aca="false">Benefits!C10*Yearly_Inputs!$C$10-C15</f>
        <v>19886.7898115299</v>
      </c>
      <c r="D17" s="53" t="n">
        <f aca="false">Benefits!D10*Yearly_Inputs!$C$10-D15</f>
        <v>4380.61346573336</v>
      </c>
      <c r="E17" s="53" t="n">
        <f aca="false">Benefits!E10*Yearly_Inputs!$C$10-E15</f>
        <v>72378.2540711894</v>
      </c>
      <c r="F17" s="53" t="n">
        <f aca="false">Benefits!F10*Yearly_Inputs!$C$10-F15</f>
        <v>117730.43708732</v>
      </c>
      <c r="G17" s="53" t="n">
        <f aca="false">Benefits!G10*Yearly_Inputs!$C$10-G15</f>
        <v>154839.019775186</v>
      </c>
    </row>
    <row r="19" customFormat="false" ht="15" hidden="false" customHeight="false" outlineLevel="0" collapsed="false">
      <c r="A19" s="40" t="s">
        <v>713</v>
      </c>
      <c r="B19" s="41"/>
      <c r="C19" s="41"/>
      <c r="D19" s="41"/>
      <c r="E19" s="41"/>
      <c r="F19" s="41"/>
      <c r="G19" s="41"/>
    </row>
    <row r="20" customFormat="false" ht="15" hidden="false" customHeight="false" outlineLevel="0" collapsed="false">
      <c r="A20" s="22" t="s">
        <v>714</v>
      </c>
      <c r="C20" s="87" t="str">
        <f aca="false">IF(C8&gt;0,"YES","NO")</f>
        <v>YES</v>
      </c>
      <c r="D20" s="87"/>
      <c r="E20" s="87"/>
      <c r="F20" s="87"/>
      <c r="G20" s="87"/>
    </row>
    <row r="21" customFormat="false" ht="15" hidden="false" customHeight="false" outlineLevel="0" collapsed="false">
      <c r="A21" s="22" t="s">
        <v>715</v>
      </c>
      <c r="C21" s="87" t="str">
        <f aca="false">IF(C16&gt;0,"YES","NO")</f>
        <v>YES</v>
      </c>
      <c r="D21" s="87"/>
      <c r="E21" s="87"/>
      <c r="F21" s="87"/>
      <c r="G21" s="87"/>
    </row>
    <row r="23" customFormat="false" ht="15" hidden="false" customHeight="false" outlineLevel="0" collapsed="false">
      <c r="A23" s="57" t="s">
        <v>716</v>
      </c>
      <c r="B23" s="58"/>
      <c r="C23" s="58"/>
      <c r="D23" s="58"/>
      <c r="E23" s="58"/>
      <c r="F23" s="58"/>
      <c r="G23" s="58"/>
    </row>
    <row r="24" customFormat="false" ht="15" hidden="false" customHeight="false" outlineLevel="0" collapsed="false">
      <c r="A24" s="77" t="s">
        <v>717</v>
      </c>
      <c r="C24" s="18" t="n">
        <f aca="false">Pricing_Income!C25</f>
        <v>0</v>
      </c>
      <c r="D24" s="18" t="n">
        <f aca="false">Pricing_Income!D25</f>
        <v>0</v>
      </c>
      <c r="E24" s="18" t="n">
        <f aca="false">Pricing_Income!E25</f>
        <v>0</v>
      </c>
      <c r="F24" s="18" t="n">
        <f aca="false">Pricing_Income!F25</f>
        <v>0</v>
      </c>
      <c r="G24" s="18" t="n">
        <f aca="false">Pricing_Income!G25</f>
        <v>0</v>
      </c>
    </row>
    <row r="25" customFormat="false" ht="15" hidden="false" customHeight="false" outlineLevel="0" collapsed="false">
      <c r="A25" s="57" t="s">
        <v>718</v>
      </c>
      <c r="C25" s="76" t="n">
        <f aca="false">Benefits!C10+MIN(Benefits!C11,Benefits!C32)-C7</f>
        <v>85144.6496858832</v>
      </c>
      <c r="D25" s="76" t="n">
        <f aca="false">Benefits!D10+MIN(Benefits!D11,Benefits!D32)-D7</f>
        <v>111301.022442889</v>
      </c>
      <c r="E25" s="76" t="n">
        <f aca="false">Benefits!E10+MIN(Benefits!E11,Benefits!E32)-E7</f>
        <v>224630.423451982</v>
      </c>
      <c r="F25" s="76" t="n">
        <f aca="false">Benefits!F10+MIN(Benefits!F11,Benefits!F32)-F7</f>
        <v>300217.395145534</v>
      </c>
      <c r="G25" s="76" t="n">
        <f aca="false">Benefits!G10+MIN(Benefits!G11,Benefits!G32)-G7</f>
        <v>362065.032958643</v>
      </c>
    </row>
    <row r="26" customFormat="false" ht="15" hidden="false" customHeight="false" outlineLevel="0" collapsed="false">
      <c r="A26" s="77" t="s">
        <v>719</v>
      </c>
      <c r="C26" s="18" t="n">
        <f aca="false">Pricing_Income!C26</f>
        <v>0</v>
      </c>
      <c r="D26" s="18" t="n">
        <f aca="false">Pricing_Income!D26</f>
        <v>0</v>
      </c>
      <c r="E26" s="18" t="n">
        <f aca="false">Pricing_Income!E26</f>
        <v>0</v>
      </c>
      <c r="F26" s="18" t="n">
        <f aca="false">Pricing_Income!F26</f>
        <v>0</v>
      </c>
      <c r="G26" s="18" t="n">
        <f aca="false">Pricing_Income!G26</f>
        <v>0</v>
      </c>
    </row>
    <row r="27" customFormat="false" ht="15" hidden="false" customHeight="false" outlineLevel="0" collapsed="false">
      <c r="A27" s="57" t="s">
        <v>720</v>
      </c>
      <c r="C27" s="87" t="str">
        <f aca="false">IF(C10&gt;0,"YES","NO")</f>
        <v>YES</v>
      </c>
      <c r="D27" s="87"/>
      <c r="E27" s="87"/>
      <c r="F27" s="87"/>
      <c r="G27" s="87"/>
    </row>
    <row r="28" customFormat="false" ht="15" hidden="false" customHeight="false" outlineLevel="0" collapsed="false">
      <c r="A28" s="57" t="s">
        <v>721</v>
      </c>
      <c r="C28" s="87" t="str">
        <f aca="false">IF(C17&gt;0,"YES","NO")</f>
        <v>YES</v>
      </c>
      <c r="D28" s="87"/>
      <c r="E28" s="87"/>
      <c r="F28" s="87"/>
      <c r="G28" s="8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14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722</v>
      </c>
    </row>
    <row r="2" customFormat="false" ht="15" hidden="false" customHeight="false" outlineLevel="0" collapsed="false">
      <c r="A2" s="2" t="s">
        <v>723</v>
      </c>
    </row>
    <row r="4" customFormat="false" ht="15" hidden="false" customHeight="false" outlineLevel="0" collapsed="false">
      <c r="A4" s="15" t="s">
        <v>447</v>
      </c>
      <c r="B4" s="16" t="s">
        <v>18</v>
      </c>
      <c r="C4" s="16" t="s">
        <v>19</v>
      </c>
      <c r="D4" s="16" t="s">
        <v>724</v>
      </c>
    </row>
    <row r="5" customFormat="false" ht="15" hidden="false" customHeight="false" outlineLevel="0" collapsed="false">
      <c r="A5" s="40" t="s">
        <v>725</v>
      </c>
      <c r="B5" s="41"/>
      <c r="C5" s="41"/>
      <c r="D5" s="41"/>
    </row>
    <row r="6" customFormat="false" ht="15" hidden="false" customHeight="false" outlineLevel="0" collapsed="false">
      <c r="A6" s="14" t="s">
        <v>726</v>
      </c>
      <c r="B6" s="20" t="n">
        <f aca="false">Assumptions!$B$19</f>
        <v>0.05</v>
      </c>
      <c r="C6" s="20" t="n">
        <f aca="false">Assumptions!$B$19</f>
        <v>0.05</v>
      </c>
      <c r="D6" s="67"/>
    </row>
    <row r="7" customFormat="false" ht="15" hidden="false" customHeight="false" outlineLevel="0" collapsed="false">
      <c r="A7" s="14" t="s">
        <v>727</v>
      </c>
      <c r="B7" s="20" t="n">
        <f aca="false">Assumptions!$B$71</f>
        <v>0.045</v>
      </c>
      <c r="C7" s="20" t="n">
        <f aca="false">Assumptions!$B$71</f>
        <v>0.045</v>
      </c>
      <c r="D7" s="67"/>
    </row>
    <row r="8" customFormat="false" ht="15" hidden="false" customHeight="false" outlineLevel="0" collapsed="false">
      <c r="A8" s="14" t="s">
        <v>728</v>
      </c>
      <c r="B8" s="88" t="n">
        <f aca="false">MAX(B6,B7)</f>
        <v>0.05</v>
      </c>
      <c r="C8" s="88" t="n">
        <f aca="false">MAX(C6,C7)</f>
        <v>0.05</v>
      </c>
      <c r="D8" s="67"/>
    </row>
    <row r="9" customFormat="false" ht="15" hidden="false" customHeight="false" outlineLevel="0" collapsed="false">
      <c r="A9" s="14" t="s">
        <v>729</v>
      </c>
      <c r="B9" s="73" t="n">
        <f aca="false">(1+((1+Assumptions!$B$19)^Assumptions!$B$20-(1+Assumptions!$B$19))/((1+Assumptions!$B$19)^Assumptions!$B$20-1))/2</f>
        <v>0.909512600935866</v>
      </c>
      <c r="C9" s="73" t="n">
        <f aca="false">(1+((1+Assumptions!$B$19)^Assumptions!$B$20-(1+Assumptions!$B$19))/((1+Assumptions!$B$19)^Assumptions!$B$20-1))/2</f>
        <v>0.909512600935866</v>
      </c>
      <c r="D9" s="67" t="s">
        <v>730</v>
      </c>
    </row>
    <row r="10" customFormat="false" ht="15" hidden="false" customHeight="false" outlineLevel="0" collapsed="false">
      <c r="A10" s="22" t="s">
        <v>731</v>
      </c>
      <c r="B10" s="81" t="n">
        <f aca="false">1000*B8*B9</f>
        <v>45.4756300467933</v>
      </c>
      <c r="C10" s="81" t="n">
        <f aca="false">1000*C8*C9</f>
        <v>45.4756300467933</v>
      </c>
      <c r="D10" s="67"/>
    </row>
    <row r="11" customFormat="false" ht="15" hidden="false" customHeight="false" outlineLevel="0" collapsed="false">
      <c r="A11" s="22" t="s">
        <v>732</v>
      </c>
      <c r="B11" s="89" t="n">
        <f aca="false">B10/1000</f>
        <v>0.0454756300467933</v>
      </c>
      <c r="C11" s="89" t="n">
        <f aca="false">C10/1000</f>
        <v>0.0454756300467933</v>
      </c>
      <c r="D11" s="67"/>
    </row>
    <row r="12" customFormat="false" ht="15" hidden="false" customHeight="false" outlineLevel="0" collapsed="false">
      <c r="A12" s="14" t="s">
        <v>733</v>
      </c>
      <c r="B12" s="90" t="n">
        <f aca="false">(Assumptions!$B$17*1000*Assumptions!$B$89*(1-Assumptions!$B$90)*(1-Assumptions!$B$93)-Assumptions!$B$16*1000*(Assumptions!$B$91+Assumptions!$B$92))/(Assumptions!$B$16*1000*Assumptions!$B$18*PMT(Assumptions!$B$19,Assumptions!$B$20,-1))</f>
        <v>1.63324997528016</v>
      </c>
      <c r="C12" s="90" t="n">
        <f aca="false">(Assumptions!$B$17*1000*Assumptions!$B$89*(1-Assumptions!$B$90)*(1-Assumptions!$B$93)-Assumptions!$B$16*1000*(Assumptions!$B$91+Assumptions!$B$92))/(Assumptions!$B$16*1000*Scenarios!$C$23*PMT(Assumptions!$B$19,Assumptions!$B$20,-1))</f>
        <v>2.44987496292024</v>
      </c>
      <c r="D12" s="67" t="s">
        <v>734</v>
      </c>
    </row>
    <row r="14" customFormat="false" ht="15" hidden="false" customHeight="false" outlineLevel="0" collapsed="false">
      <c r="A14" s="40" t="s">
        <v>735</v>
      </c>
      <c r="B14" s="41"/>
      <c r="C14" s="41"/>
      <c r="D14" s="41"/>
    </row>
    <row r="15" customFormat="false" ht="15" hidden="false" customHeight="false" outlineLevel="0" collapsed="false">
      <c r="A15" s="14" t="s">
        <v>726</v>
      </c>
      <c r="B15" s="20" t="n">
        <f aca="false">Assumptions!$B$26</f>
        <v>0.065</v>
      </c>
      <c r="C15" s="20" t="n">
        <f aca="false">Assumptions!$B$26</f>
        <v>0.065</v>
      </c>
      <c r="D15" s="67"/>
    </row>
    <row r="16" customFormat="false" ht="15" hidden="false" customHeight="false" outlineLevel="0" collapsed="false">
      <c r="A16" s="14" t="s">
        <v>729</v>
      </c>
      <c r="B16" s="73" t="n">
        <f aca="false">(1+((1+Assumptions!$B$26)^Assumptions!$B$27-(1+Assumptions!$B$26))/((1+Assumptions!$B$26)^Assumptions!$B$27-1))/2</f>
        <v>0.843712149036095</v>
      </c>
      <c r="C16" s="73" t="n">
        <f aca="false">(1+((1+Assumptions!$B$26)^Assumptions!$B$27-(1+Assumptions!$B$26))/((1+Assumptions!$B$26)^Assumptions!$B$27-1))/2</f>
        <v>0.843712149036095</v>
      </c>
      <c r="D16" s="67"/>
    </row>
    <row r="17" customFormat="false" ht="15" hidden="false" customHeight="false" outlineLevel="0" collapsed="false">
      <c r="A17" s="14" t="s">
        <v>736</v>
      </c>
      <c r="B17" s="79" t="n">
        <f aca="false">1000*B15*B16</f>
        <v>54.8412896873462</v>
      </c>
      <c r="C17" s="79" t="n">
        <f aca="false">1000*C15*C16</f>
        <v>54.8412896873462</v>
      </c>
      <c r="D17" s="67"/>
    </row>
    <row r="18" customFormat="false" ht="15" hidden="false" customHeight="false" outlineLevel="0" collapsed="false">
      <c r="A18" s="14" t="s">
        <v>737</v>
      </c>
      <c r="B18" s="79" t="n">
        <f aca="false">MAX(Assumptions!$B$24,Assumptions!$B$72)*Assumptions!$B$25</f>
        <v>800</v>
      </c>
      <c r="C18" s="79" t="n">
        <f aca="false">MAX(Scenarios!$C$7,Assumptions!$B$72)*Assumptions!$B$25</f>
        <v>640</v>
      </c>
      <c r="D18" s="67" t="s">
        <v>738</v>
      </c>
    </row>
    <row r="19" customFormat="false" ht="15" hidden="false" customHeight="false" outlineLevel="0" collapsed="false">
      <c r="A19" s="14" t="s">
        <v>739</v>
      </c>
      <c r="B19" s="53" t="n">
        <f aca="false">PMT(Assumptions!$B$26/12,Assumptions!$B$27*12,-Assumptions!$B$23)*12</f>
        <v>7355.76069036235</v>
      </c>
      <c r="C19" s="53" t="n">
        <f aca="false">PMT(Assumptions!$B$26/12,Assumptions!$B$27*12,-Assumptions!$B$23)*12</f>
        <v>7355.76069036235</v>
      </c>
      <c r="D19" s="67"/>
    </row>
    <row r="20" customFormat="false" ht="15" hidden="false" customHeight="false" outlineLevel="0" collapsed="false">
      <c r="A20" s="14" t="s">
        <v>740</v>
      </c>
      <c r="B20" s="53" t="n">
        <f aca="false">B18*12-B19</f>
        <v>2244.23930963765</v>
      </c>
      <c r="C20" s="53" t="n">
        <f aca="false">C18*12-C19</f>
        <v>324.239309637653</v>
      </c>
      <c r="D20" s="67"/>
    </row>
    <row r="21" customFormat="false" ht="15" hidden="false" customHeight="false" outlineLevel="0" collapsed="false">
      <c r="A21" s="14" t="s">
        <v>741</v>
      </c>
      <c r="B21" s="53" t="n">
        <f aca="false">MAX(0,B20)*(1-Assumptions!$B$28)</f>
        <v>1122.11965481883</v>
      </c>
      <c r="C21" s="53" t="n">
        <f aca="false">MAX(0,C20)*(1-Assumptions!$B$28)</f>
        <v>162.119654818826</v>
      </c>
      <c r="D21" s="67"/>
    </row>
    <row r="22" customFormat="false" ht="15" hidden="false" customHeight="false" outlineLevel="0" collapsed="false">
      <c r="A22" s="14" t="s">
        <v>501</v>
      </c>
      <c r="B22" s="53" t="n">
        <f aca="false">Assumptions!$B$23*Assumptions!$B$73*Assumptions!$B$74</f>
        <v>200</v>
      </c>
      <c r="C22" s="53" t="n">
        <f aca="false">Assumptions!$B$23*Scenarios!$C$13*Assumptions!$B$74</f>
        <v>1000</v>
      </c>
      <c r="D22" s="67"/>
    </row>
    <row r="23" customFormat="false" ht="15" hidden="false" customHeight="false" outlineLevel="0" collapsed="false">
      <c r="A23" s="14" t="s">
        <v>742</v>
      </c>
      <c r="B23" s="79" t="n">
        <f aca="false">(MAX(0,B22-B21)+MAX(0,-B20))/Assumptions!$B$23*1000</f>
        <v>0</v>
      </c>
      <c r="C23" s="79" t="n">
        <f aca="false">(MAX(0,C22-C21)+MAX(0,-C20))/Assumptions!$B$23*1000</f>
        <v>41.8940172590587</v>
      </c>
      <c r="D23" s="67"/>
    </row>
    <row r="24" customFormat="false" ht="15" hidden="false" customHeight="false" outlineLevel="0" collapsed="false">
      <c r="A24" s="22" t="s">
        <v>743</v>
      </c>
      <c r="B24" s="81" t="n">
        <f aca="false">B17-B23</f>
        <v>54.8412896873462</v>
      </c>
      <c r="C24" s="81" t="n">
        <f aca="false">C17-C23</f>
        <v>12.9472724282875</v>
      </c>
      <c r="D24" s="67"/>
    </row>
    <row r="25" customFormat="false" ht="15" hidden="false" customHeight="false" outlineLevel="0" collapsed="false">
      <c r="A25" s="22" t="s">
        <v>732</v>
      </c>
      <c r="B25" s="89" t="n">
        <f aca="false">B24/1000</f>
        <v>0.0548412896873462</v>
      </c>
      <c r="C25" s="89" t="n">
        <f aca="false">C24/1000</f>
        <v>0.0129472724282875</v>
      </c>
      <c r="D25" s="67"/>
    </row>
    <row r="27" customFormat="false" ht="15" hidden="false" customHeight="false" outlineLevel="0" collapsed="false">
      <c r="A27" s="40" t="s">
        <v>744</v>
      </c>
      <c r="B27" s="41"/>
      <c r="C27" s="41"/>
      <c r="D27" s="41"/>
    </row>
    <row r="28" customFormat="false" ht="15" hidden="false" customHeight="false" outlineLevel="0" collapsed="false">
      <c r="A28" s="14" t="s">
        <v>745</v>
      </c>
      <c r="B28" s="69" t="n">
        <f aca="false">EV_Pilot!B9</f>
        <v>60</v>
      </c>
      <c r="C28" s="69" t="n">
        <f aca="false">EV_Pilot!C9</f>
        <v>27</v>
      </c>
      <c r="D28" s="67"/>
    </row>
    <row r="29" customFormat="false" ht="15" hidden="false" customHeight="false" outlineLevel="0" collapsed="false">
      <c r="A29" s="14" t="s">
        <v>746</v>
      </c>
      <c r="B29" s="18" t="n">
        <f aca="false">EV_Pilot!B65</f>
        <v>0</v>
      </c>
      <c r="C29" s="18" t="n">
        <f aca="false">EV_Pilot!C65</f>
        <v>3000</v>
      </c>
      <c r="D29" s="67" t="s">
        <v>747</v>
      </c>
    </row>
    <row r="30" customFormat="false" ht="15" hidden="false" customHeight="false" outlineLevel="0" collapsed="false">
      <c r="A30" s="14" t="s">
        <v>352</v>
      </c>
      <c r="B30" s="91" t="n">
        <f aca="false">Assumptions!$B$137</f>
        <v>7</v>
      </c>
      <c r="C30" s="91" t="n">
        <f aca="false">Assumptions!$B$137</f>
        <v>7</v>
      </c>
      <c r="D30" s="67" t="s">
        <v>748</v>
      </c>
    </row>
    <row r="31" customFormat="false" ht="15" hidden="false" customHeight="false" outlineLevel="0" collapsed="false">
      <c r="A31" s="14" t="s">
        <v>749</v>
      </c>
      <c r="B31" s="79" t="n">
        <f aca="false">EV_Pilot!B56/EV_Pilot!B53*1000</f>
        <v>179.5948</v>
      </c>
      <c r="C31" s="79" t="n">
        <f aca="false">EV_Pilot!C56/EV_Pilot!C53*1000</f>
        <v>0</v>
      </c>
      <c r="D31" s="67" t="s">
        <v>750</v>
      </c>
    </row>
    <row r="32" customFormat="false" ht="15" hidden="false" customHeight="false" outlineLevel="0" collapsed="false">
      <c r="A32" s="14" t="s">
        <v>751</v>
      </c>
      <c r="B32" s="71" t="n">
        <f aca="false">EV_Pilot!B70</f>
        <v>179.5948</v>
      </c>
      <c r="C32" s="71" t="n">
        <f aca="false">EV_Pilot!C70</f>
        <v>85.7142857142857</v>
      </c>
      <c r="D32" s="67"/>
    </row>
    <row r="33" customFormat="false" ht="15" hidden="false" customHeight="false" outlineLevel="0" collapsed="false">
      <c r="A33" s="22" t="s">
        <v>752</v>
      </c>
      <c r="B33" s="81" t="n">
        <f aca="false">B32-1000/B30</f>
        <v>36.7376571428571</v>
      </c>
      <c r="C33" s="81" t="n">
        <f aca="false">C32-1000/C30</f>
        <v>-57.1428571428572</v>
      </c>
      <c r="D33" s="67"/>
    </row>
    <row r="34" customFormat="false" ht="15" hidden="false" customHeight="false" outlineLevel="0" collapsed="false">
      <c r="A34" s="22" t="s">
        <v>732</v>
      </c>
      <c r="B34" s="89" t="n">
        <f aca="false">B33/1000</f>
        <v>0.0367376571428571</v>
      </c>
      <c r="C34" s="89" t="n">
        <f aca="false">C33/1000</f>
        <v>-0.0571428571428572</v>
      </c>
      <c r="D34" s="67"/>
    </row>
    <row r="35" customFormat="false" ht="15" hidden="false" customHeight="false" outlineLevel="0" collapsed="false">
      <c r="A35" s="14" t="s">
        <v>753</v>
      </c>
      <c r="B35" s="21" t="n">
        <f aca="false">EV_Pilot!B86</f>
        <v>1.28709606666667</v>
      </c>
      <c r="C35" s="21" t="n">
        <f aca="false">EV_Pilot!C86</f>
        <v>0.6</v>
      </c>
      <c r="D35" s="67"/>
    </row>
    <row r="36" customFormat="false" ht="15" hidden="false" customHeight="false" outlineLevel="0" collapsed="false">
      <c r="A36" s="22" t="s">
        <v>754</v>
      </c>
      <c r="B36" s="82" t="n">
        <f aca="false">MAX(0,1-B35)</f>
        <v>0</v>
      </c>
      <c r="C36" s="82" t="n">
        <f aca="false">MAX(0,1-C35)</f>
        <v>0.4</v>
      </c>
      <c r="D36" s="67"/>
    </row>
    <row r="37" customFormat="false" ht="15" hidden="false" customHeight="false" outlineLevel="0" collapsed="false">
      <c r="A37" s="14" t="s">
        <v>755</v>
      </c>
      <c r="B37" s="50" t="n">
        <f aca="false">EV_Pilot!L86</f>
        <v>1.04763633333333</v>
      </c>
      <c r="C37" s="50" t="n">
        <f aca="false">EV_Pilot!M86</f>
        <v>0</v>
      </c>
      <c r="D37" s="67" t="s">
        <v>756</v>
      </c>
    </row>
    <row r="39" customFormat="false" ht="15" hidden="false" customHeight="false" outlineLevel="0" collapsed="false">
      <c r="A39" s="40" t="s">
        <v>713</v>
      </c>
      <c r="B39" s="41"/>
      <c r="C39" s="41"/>
      <c r="D39" s="41"/>
    </row>
    <row r="40" customFormat="false" ht="15" hidden="false" customHeight="false" outlineLevel="0" collapsed="false">
      <c r="A40" s="22" t="s">
        <v>757</v>
      </c>
      <c r="B40" s="87" t="str">
        <f aca="false">IF(B11&gt;0,"YES","NO")</f>
        <v>YES</v>
      </c>
      <c r="C40" s="87" t="str">
        <f aca="false">IF(C11&gt;0,"YES","NO")</f>
        <v>YES</v>
      </c>
      <c r="D40" s="67"/>
    </row>
    <row r="41" customFormat="false" ht="15" hidden="false" customHeight="false" outlineLevel="0" collapsed="false">
      <c r="A41" s="22" t="s">
        <v>758</v>
      </c>
      <c r="B41" s="87" t="str">
        <f aca="false">IF(B25&gt;0,"YES","NO")</f>
        <v>YES</v>
      </c>
      <c r="C41" s="87" t="str">
        <f aca="false">IF(C25&gt;0,"YES","NO")</f>
        <v>YES</v>
      </c>
      <c r="D41" s="67"/>
    </row>
    <row r="42" customFormat="false" ht="15" hidden="false" customHeight="false" outlineLevel="0" collapsed="false">
      <c r="A42" s="22" t="s">
        <v>759</v>
      </c>
      <c r="B42" s="87" t="str">
        <f aca="false">IF(B36&lt;=0.5,"YES","NO")</f>
        <v>YES</v>
      </c>
      <c r="C42" s="87" t="str">
        <f aca="false">IF(C36&lt;=0.5,"YES","NO")</f>
        <v>YES</v>
      </c>
      <c r="D42" s="67"/>
    </row>
    <row r="44" customFormat="false" ht="15" hidden="false" customHeight="false" outlineLevel="0" collapsed="false">
      <c r="A44" s="40" t="s">
        <v>760</v>
      </c>
      <c r="B44" s="41"/>
      <c r="C44" s="41"/>
      <c r="D44" s="41"/>
    </row>
    <row r="45" customFormat="false" ht="15" hidden="false" customHeight="false" outlineLevel="0" collapsed="false">
      <c r="A45" s="14" t="s">
        <v>761</v>
      </c>
      <c r="B45" s="18" t="n">
        <f aca="false">Assumptions!$B$95</f>
        <v>1000</v>
      </c>
      <c r="C45" s="18" t="n">
        <f aca="false">Assumptions!$B$95</f>
        <v>1000</v>
      </c>
      <c r="D45" s="67"/>
    </row>
    <row r="46" customFormat="false" ht="15" hidden="false" customHeight="false" outlineLevel="0" collapsed="false">
      <c r="A46" s="14" t="s">
        <v>762</v>
      </c>
      <c r="B46" s="53" t="n">
        <f aca="false">PMT(Assumptions!$B$19/12,Assumptions!$B$20*12,-Assumptions!$B$95)*Assumptions!$B$20*12</f>
        <v>1132.27401864066</v>
      </c>
      <c r="C46" s="53" t="n">
        <f aca="false">PMT(Assumptions!$B$19/12,Assumptions!$B$20*12,-Assumptions!$B$95)*Assumptions!$B$20*12</f>
        <v>1132.27401864066</v>
      </c>
      <c r="D46" s="67"/>
    </row>
    <row r="47" customFormat="false" ht="15" hidden="false" customHeight="false" outlineLevel="0" collapsed="false">
      <c r="A47" s="22" t="s">
        <v>763</v>
      </c>
      <c r="B47" s="76" t="n">
        <f aca="false">B46-B45</f>
        <v>132.274018640656</v>
      </c>
      <c r="C47" s="76" t="n">
        <f aca="false">C46-C45</f>
        <v>132.274018640656</v>
      </c>
      <c r="D47" s="67"/>
    </row>
    <row r="48" customFormat="false" ht="15" hidden="false" customHeight="false" outlineLevel="0" collapsed="false">
      <c r="A48" s="14" t="s">
        <v>764</v>
      </c>
      <c r="B48" s="73" t="n">
        <f aca="false">((1+Assumptions!$B$26)^Assumptions!$B$27-(1+Assumptions!$B$26))/((1+Assumptions!$B$26)^Assumptions!$B$27-1)</f>
        <v>0.68742429807219</v>
      </c>
      <c r="C48" s="73" t="n">
        <f aca="false">((1+Assumptions!$B$26)^Assumptions!$B$27-(1+Assumptions!$B$26))/((1+Assumptions!$B$26)^Assumptions!$B$27-1)</f>
        <v>0.68742429807219</v>
      </c>
      <c r="D48" s="67"/>
    </row>
    <row r="49" customFormat="false" ht="15" hidden="false" customHeight="false" outlineLevel="0" collapsed="false">
      <c r="A49" s="14" t="s">
        <v>765</v>
      </c>
      <c r="B49" s="73" t="n">
        <f aca="false">MAX(0,((1+Assumptions!$B$26)^Assumptions!$B$27-(1+Assumptions!$B$26)^2)/((1+Assumptions!$B$26)^Assumptions!$B$27-1))</f>
        <v>0.354531175519072</v>
      </c>
      <c r="C49" s="73" t="n">
        <f aca="false">MAX(0,((1+Assumptions!$B$26)^Assumptions!$B$27-(1+Assumptions!$B$26)^2)/((1+Assumptions!$B$26)^Assumptions!$B$27-1))</f>
        <v>0.354531175519072</v>
      </c>
      <c r="D49" s="67"/>
    </row>
    <row r="50" customFormat="false" ht="15" hidden="false" customHeight="false" outlineLevel="0" collapsed="false">
      <c r="A50" s="14" t="s">
        <v>766</v>
      </c>
      <c r="B50" s="53" t="n">
        <f aca="false">PMT(Assumptions!$B$26/12,Assumptions!$B$27*12,-Assumptions!$B$95)*Assumptions!$B$27*12</f>
        <v>1103.36410355435</v>
      </c>
      <c r="C50" s="53" t="n">
        <f aca="false">PMT(Assumptions!$B$26/12,Assumptions!$B$27*12,-Assumptions!$B$95)*Assumptions!$B$27*12</f>
        <v>1103.36410355435</v>
      </c>
      <c r="D50" s="67"/>
    </row>
    <row r="51" customFormat="false" ht="15" hidden="false" customHeight="false" outlineLevel="0" collapsed="false">
      <c r="A51" s="14" t="s">
        <v>767</v>
      </c>
      <c r="B51" s="53" t="n">
        <f aca="false">MAX(0,B45*Assumptions!$B$73*Assumptions!$B$74*(0.5+B48+B49)-B45/Assumptions!$B$23*B21*Assumptions!$B$27)+MAX(0,-B20)/Assumptions!$B$23*B45*Assumptions!$B$27</f>
        <v>0</v>
      </c>
      <c r="C51" s="53" t="n">
        <f aca="false">MAX(0,C45*Scenarios!$C$13*Assumptions!$B$74*(0.5+C48+C49)-C45/Assumptions!$B$23*C21*Assumptions!$B$27)+MAX(0,-C20)/Assumptions!$B$23*C45*Assumptions!$B$27</f>
        <v>52.7798254567391</v>
      </c>
      <c r="D51" s="67" t="s">
        <v>768</v>
      </c>
    </row>
    <row r="52" customFormat="false" ht="15" hidden="false" customHeight="false" outlineLevel="0" collapsed="false">
      <c r="A52" s="22" t="s">
        <v>769</v>
      </c>
      <c r="B52" s="76" t="n">
        <f aca="false">B50-B45-B51</f>
        <v>103.364103554352</v>
      </c>
      <c r="C52" s="76" t="n">
        <f aca="false">C50-C45-C51</f>
        <v>50.584278097613</v>
      </c>
      <c r="D52" s="67"/>
    </row>
    <row r="53" customFormat="false" ht="15" hidden="false" customHeight="false" outlineLevel="0" collapsed="false">
      <c r="A53" s="14" t="s">
        <v>770</v>
      </c>
      <c r="B53" s="88" t="n">
        <f aca="false">RATE(Assumptions!$B$27*12,(B50-B51)/(Assumptions!$B$27*12),-B45)*12</f>
        <v>0.065000000000128</v>
      </c>
      <c r="C53" s="88" t="n">
        <f aca="false">RATE(Assumptions!$B$27*12,(C50-C51)/(Assumptions!$B$27*12),-C45)*12</f>
        <v>0.032304876396809</v>
      </c>
      <c r="D53" s="67"/>
    </row>
    <row r="54" customFormat="false" ht="15" hidden="false" customHeight="false" outlineLevel="0" collapsed="false">
      <c r="A54" s="14" t="s">
        <v>771</v>
      </c>
      <c r="B54" s="53" t="n">
        <f aca="false">B32*B45/1000</f>
        <v>179.5948</v>
      </c>
      <c r="C54" s="53" t="n">
        <f aca="false">C32*C45/1000</f>
        <v>85.7142857142857</v>
      </c>
      <c r="D54" s="67"/>
    </row>
    <row r="55" customFormat="false" ht="15" hidden="false" customHeight="false" outlineLevel="0" collapsed="false">
      <c r="A55" s="14" t="s">
        <v>772</v>
      </c>
      <c r="B55" s="53" t="n">
        <f aca="false">EV_Pilot!B85*B45/1000</f>
        <v>1287.09606666667</v>
      </c>
      <c r="C55" s="53" t="n">
        <f aca="false">EV_Pilot!C85*C45/1000</f>
        <v>600</v>
      </c>
      <c r="D55" s="67"/>
    </row>
    <row r="56" customFormat="false" ht="15" hidden="false" customHeight="false" outlineLevel="0" collapsed="false">
      <c r="A56" s="22" t="s">
        <v>773</v>
      </c>
      <c r="B56" s="76" t="n">
        <f aca="false">B55-B45</f>
        <v>287.096066666667</v>
      </c>
      <c r="C56" s="76" t="n">
        <f aca="false">C55-C45</f>
        <v>-400</v>
      </c>
      <c r="D56" s="67"/>
    </row>
    <row r="57" customFormat="false" ht="15" hidden="false" customHeight="false" outlineLevel="0" collapsed="false">
      <c r="A57" s="14" t="s">
        <v>774</v>
      </c>
      <c r="B57" s="88" t="n">
        <f aca="false">EV_Pilot!B88</f>
        <v>0.0661872679910144</v>
      </c>
      <c r="C57" s="88" t="n">
        <f aca="false">EV_Pilot!C88</f>
        <v>-0.113514765808182</v>
      </c>
      <c r="D57" s="67" t="s">
        <v>775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6"/>
    <col collapsed="false" customWidth="true" hidden="false" outlineLevel="0" max="7" min="3" style="0" width="14"/>
  </cols>
  <sheetData>
    <row r="1" customFormat="false" ht="17.35" hidden="false" customHeight="false" outlineLevel="0" collapsed="false">
      <c r="A1" s="1" t="s">
        <v>776</v>
      </c>
    </row>
    <row r="2" customFormat="false" ht="15" hidden="false" customHeight="false" outlineLevel="0" collapsed="false">
      <c r="A2" s="2" t="s">
        <v>777</v>
      </c>
    </row>
    <row r="4" customFormat="false" ht="15" hidden="false" customHeight="false" outlineLevel="0" collapsed="false">
      <c r="A4" s="15" t="s">
        <v>778</v>
      </c>
      <c r="B4" s="16" t="s">
        <v>614</v>
      </c>
      <c r="C4" s="16" t="s">
        <v>448</v>
      </c>
      <c r="D4" s="16" t="s">
        <v>449</v>
      </c>
      <c r="E4" s="16" t="s">
        <v>450</v>
      </c>
      <c r="F4" s="16" t="s">
        <v>451</v>
      </c>
      <c r="G4" s="16" t="s">
        <v>452</v>
      </c>
    </row>
    <row r="5" customFormat="false" ht="15" hidden="false" customHeight="false" outlineLevel="0" collapsed="false">
      <c r="A5" s="14" t="s">
        <v>779</v>
      </c>
      <c r="B5" s="67" t="s">
        <v>780</v>
      </c>
      <c r="C5" s="18" t="n">
        <f aca="false">Benefits!C20</f>
        <v>1</v>
      </c>
      <c r="D5" s="18" t="n">
        <f aca="false">Benefits!D20</f>
        <v>3</v>
      </c>
      <c r="E5" s="18" t="n">
        <f aca="false">Benefits!E20</f>
        <v>5</v>
      </c>
      <c r="F5" s="18" t="n">
        <f aca="false">Benefits!F20</f>
        <v>7</v>
      </c>
      <c r="G5" s="18" t="n">
        <f aca="false">Benefits!G20</f>
        <v>9</v>
      </c>
    </row>
    <row r="6" customFormat="false" ht="15" hidden="false" customHeight="false" outlineLevel="0" collapsed="false">
      <c r="A6" s="14" t="s">
        <v>781</v>
      </c>
      <c r="B6" s="67" t="s">
        <v>782</v>
      </c>
      <c r="C6" s="53" t="n">
        <f aca="false">Assumptions!$B$44*Assumptions!$B$45*12*(1+Assumptions!$B$46)*Assumptions!$B$84</f>
        <v>55176</v>
      </c>
      <c r="D6" s="53" t="n">
        <f aca="false">Assumptions!$B$44*Assumptions!$B$45*12*(1+Assumptions!$B$46)</f>
        <v>110352</v>
      </c>
      <c r="E6" s="53" t="n">
        <f aca="false">Assumptions!$B$44*Assumptions!$B$45*12*(1+Assumptions!$B$46)</f>
        <v>110352</v>
      </c>
      <c r="F6" s="53" t="n">
        <f aca="false">Assumptions!$B$44*Assumptions!$B$45*12*(1+Assumptions!$B$46)</f>
        <v>110352</v>
      </c>
      <c r="G6" s="53" t="n">
        <f aca="false">Assumptions!$B$44*Assumptions!$B$45*12*(1+Assumptions!$B$46)</f>
        <v>110352</v>
      </c>
    </row>
    <row r="7" customFormat="false" ht="15" hidden="false" customHeight="false" outlineLevel="0" collapsed="false">
      <c r="A7" s="14" t="s">
        <v>783</v>
      </c>
      <c r="B7" s="67" t="s">
        <v>784</v>
      </c>
      <c r="C7" s="53" t="n">
        <f aca="false">Assumptions!$B$47*Assumptions!$B$48*Assumptions!$B$85</f>
        <v>29400</v>
      </c>
      <c r="D7" s="53" t="n">
        <f aca="false">0</f>
        <v>0</v>
      </c>
      <c r="E7" s="53" t="n">
        <f aca="false">0</f>
        <v>0</v>
      </c>
      <c r="F7" s="53" t="n">
        <f aca="false">0</f>
        <v>0</v>
      </c>
      <c r="G7" s="53" t="n">
        <f aca="false">0</f>
        <v>0</v>
      </c>
    </row>
    <row r="8" customFormat="false" ht="15" hidden="false" customHeight="false" outlineLevel="0" collapsed="false">
      <c r="A8" s="14" t="s">
        <v>785</v>
      </c>
      <c r="B8" s="67" t="s">
        <v>786</v>
      </c>
      <c r="C8" s="53" t="n">
        <f aca="false">Yearly_Inputs!$B$11*Assumptions!$B$48*12*(1+Assumptions!$B$46)</f>
        <v>0</v>
      </c>
      <c r="D8" s="53" t="n">
        <f aca="false">Yearly_Inputs!$C$11*Assumptions!$B$48*12*(1+Assumptions!$B$46)</f>
        <v>0</v>
      </c>
      <c r="E8" s="53" t="n">
        <f aca="false">Yearly_Inputs!$D$11*Assumptions!$B$48*12*(1+Assumptions!$B$46)</f>
        <v>96558</v>
      </c>
      <c r="F8" s="53" t="n">
        <f aca="false">Yearly_Inputs!$E$11*Assumptions!$B$48*12*(1+Assumptions!$B$46)</f>
        <v>96558</v>
      </c>
      <c r="G8" s="53" t="n">
        <f aca="false">Yearly_Inputs!$F$11*Assumptions!$B$48*12*(1+Assumptions!$B$46)</f>
        <v>193116</v>
      </c>
    </row>
    <row r="9" customFormat="false" ht="15" hidden="false" customHeight="false" outlineLevel="0" collapsed="false">
      <c r="A9" s="14" t="s">
        <v>787</v>
      </c>
      <c r="B9" s="67" t="s">
        <v>788</v>
      </c>
      <c r="C9" s="53" t="n">
        <f aca="false">Yearly_Inputs!$B$12</f>
        <v>0</v>
      </c>
      <c r="D9" s="53" t="n">
        <f aca="false">Yearly_Inputs!$C$12</f>
        <v>18000</v>
      </c>
      <c r="E9" s="53" t="n">
        <f aca="false">Yearly_Inputs!$D$12</f>
        <v>36000</v>
      </c>
      <c r="F9" s="53" t="n">
        <f aca="false">Yearly_Inputs!$E$12</f>
        <v>36000</v>
      </c>
      <c r="G9" s="53" t="n">
        <f aca="false">Yearly_Inputs!$F$12</f>
        <v>48000</v>
      </c>
    </row>
    <row r="10" customFormat="false" ht="15" hidden="false" customHeight="false" outlineLevel="0" collapsed="false">
      <c r="A10" s="14" t="s">
        <v>789</v>
      </c>
      <c r="B10" s="67" t="s">
        <v>790</v>
      </c>
      <c r="C10" s="53" t="n">
        <f aca="false">(C5*Assumptions!$B$49+Assumptions!$B$51*Assumptions!$B$50)*12*Assumptions!$B$52</f>
        <v>3432</v>
      </c>
      <c r="D10" s="53" t="n">
        <f aca="false">(D5*Assumptions!$B$49+Assumptions!$B$51*Assumptions!$B$50)*12*Assumptions!$B$52</f>
        <v>6072</v>
      </c>
      <c r="E10" s="53" t="n">
        <f aca="false">(E5*Assumptions!$B$49+Assumptions!$B$51*Assumptions!$B$50)*12*Assumptions!$B$52</f>
        <v>8712</v>
      </c>
      <c r="F10" s="53" t="n">
        <f aca="false">(F5*Assumptions!$B$49+Assumptions!$B$51*Assumptions!$B$50)*12*Assumptions!$B$52</f>
        <v>11352</v>
      </c>
      <c r="G10" s="53" t="n">
        <f aca="false">(G5*Assumptions!$B$49+Assumptions!$B$51*Assumptions!$B$50)*12*Assumptions!$B$52</f>
        <v>13992</v>
      </c>
    </row>
    <row r="11" customFormat="false" ht="15" hidden="false" customHeight="false" outlineLevel="0" collapsed="false">
      <c r="A11" s="14" t="s">
        <v>791</v>
      </c>
      <c r="B11" s="67" t="s">
        <v>792</v>
      </c>
      <c r="C11" s="53" t="n">
        <f aca="false">Assumptions!$B$53</f>
        <v>15000</v>
      </c>
      <c r="D11" s="53" t="n">
        <f aca="false">Assumptions!$B$54</f>
        <v>8000</v>
      </c>
      <c r="E11" s="53" t="n">
        <f aca="false">Assumptions!$B$54</f>
        <v>8000</v>
      </c>
      <c r="F11" s="53" t="n">
        <f aca="false">Assumptions!$B$54</f>
        <v>8000</v>
      </c>
      <c r="G11" s="53" t="n">
        <f aca="false">Assumptions!$B$54</f>
        <v>8000</v>
      </c>
    </row>
    <row r="12" customFormat="false" ht="15" hidden="false" customHeight="false" outlineLevel="0" collapsed="false">
      <c r="A12" s="14" t="s">
        <v>793</v>
      </c>
      <c r="B12" s="67" t="s">
        <v>794</v>
      </c>
      <c r="C12" s="53" t="n">
        <f aca="false">Assumptions!$B$55</f>
        <v>15000</v>
      </c>
      <c r="D12" s="53" t="n">
        <f aca="false">Assumptions!$B$56</f>
        <v>5000</v>
      </c>
      <c r="E12" s="53" t="n">
        <f aca="false">Assumptions!$B$56</f>
        <v>5000</v>
      </c>
      <c r="F12" s="53" t="n">
        <f aca="false">Assumptions!$B$56</f>
        <v>5000</v>
      </c>
      <c r="G12" s="53" t="n">
        <f aca="false">Assumptions!$B$56</f>
        <v>5000</v>
      </c>
    </row>
    <row r="13" customFormat="false" ht="15" hidden="false" customHeight="false" outlineLevel="0" collapsed="false">
      <c r="A13" s="14" t="s">
        <v>795</v>
      </c>
      <c r="B13" s="67" t="s">
        <v>796</v>
      </c>
      <c r="C13" s="53" t="n">
        <f aca="false">Yearly_Inputs!$B$9*Assumptions!$B$57</f>
        <v>8000</v>
      </c>
      <c r="D13" s="53" t="n">
        <f aca="false">Yearly_Inputs!$C$9*Assumptions!$B$86</f>
        <v>10000</v>
      </c>
      <c r="E13" s="53" t="n">
        <f aca="false">Yearly_Inputs!$D$9*Assumptions!$B$86</f>
        <v>10000</v>
      </c>
      <c r="F13" s="53" t="n">
        <f aca="false">Yearly_Inputs!$E$9*Assumptions!$B$86</f>
        <v>10000</v>
      </c>
      <c r="G13" s="53" t="n">
        <f aca="false">Yearly_Inputs!$F$9*Assumptions!$B$86</f>
        <v>10000</v>
      </c>
    </row>
    <row r="14" customFormat="false" ht="15" hidden="false" customHeight="false" outlineLevel="0" collapsed="false">
      <c r="A14" s="22" t="s">
        <v>797</v>
      </c>
      <c r="B14" s="67"/>
      <c r="C14" s="75" t="n">
        <f aca="false">SUM(C6:C13)</f>
        <v>126008</v>
      </c>
      <c r="D14" s="75" t="n">
        <f aca="false">SUM(D6:D13)</f>
        <v>157424</v>
      </c>
      <c r="E14" s="75" t="n">
        <f aca="false">SUM(E6:E13)</f>
        <v>274622</v>
      </c>
      <c r="F14" s="75" t="n">
        <f aca="false">SUM(F6:F13)</f>
        <v>277262</v>
      </c>
      <c r="G14" s="75" t="n">
        <f aca="false">SUM(G6:G13)</f>
        <v>388460</v>
      </c>
    </row>
    <row r="16" customFormat="false" ht="15" hidden="false" customHeight="false" outlineLevel="0" collapsed="false">
      <c r="A16" s="57" t="s">
        <v>798</v>
      </c>
      <c r="B16" s="58"/>
      <c r="C16" s="58"/>
      <c r="D16" s="58"/>
      <c r="E16" s="58"/>
      <c r="F16" s="58"/>
      <c r="G16" s="58"/>
    </row>
    <row r="17" customFormat="false" ht="15" hidden="false" customHeight="false" outlineLevel="0" collapsed="false">
      <c r="A17" s="77" t="s">
        <v>799</v>
      </c>
      <c r="B17" s="67" t="s">
        <v>800</v>
      </c>
      <c r="C17" s="53" t="n">
        <f aca="false">Assumptions!$B$44*Assumptions!$B$45*12*(1-Assumptions!$B$84)</f>
        <v>48000</v>
      </c>
      <c r="D17" s="53" t="n">
        <f aca="false">0</f>
        <v>0</v>
      </c>
      <c r="E17" s="53" t="n">
        <f aca="false">0</f>
        <v>0</v>
      </c>
      <c r="F17" s="53" t="n">
        <f aca="false">0</f>
        <v>0</v>
      </c>
      <c r="G17" s="53" t="n">
        <f aca="false">0</f>
        <v>0</v>
      </c>
    </row>
    <row r="18" customFormat="false" ht="15" hidden="false" customHeight="false" outlineLevel="0" collapsed="false">
      <c r="A18" s="77" t="s">
        <v>801</v>
      </c>
      <c r="B18" s="67" t="s">
        <v>802</v>
      </c>
      <c r="C18" s="53" t="n">
        <f aca="false">Assumptions!$B$47*Assumptions!$B$48*(1-Assumptions!$B$85)</f>
        <v>12600</v>
      </c>
      <c r="D18" s="53" t="n">
        <f aca="false">0</f>
        <v>0</v>
      </c>
      <c r="E18" s="53" t="n">
        <f aca="false">0</f>
        <v>0</v>
      </c>
      <c r="F18" s="53" t="n">
        <f aca="false">0</f>
        <v>0</v>
      </c>
      <c r="G18" s="53" t="n">
        <f aca="false">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"/>
    <col collapsed="false" customWidth="true" hidden="false" outlineLevel="0" max="8" min="3" style="0" width="14"/>
  </cols>
  <sheetData>
    <row r="1" customFormat="false" ht="17.35" hidden="false" customHeight="false" outlineLevel="0" collapsed="false">
      <c r="A1" s="1" t="s">
        <v>803</v>
      </c>
    </row>
    <row r="4" customFormat="false" ht="15" hidden="false" customHeight="false" outlineLevel="0" collapsed="false">
      <c r="A4" s="15" t="s">
        <v>447</v>
      </c>
      <c r="B4" s="16"/>
      <c r="C4" s="16" t="s">
        <v>377</v>
      </c>
      <c r="D4" s="16" t="s">
        <v>378</v>
      </c>
      <c r="E4" s="16" t="s">
        <v>379</v>
      </c>
      <c r="F4" s="16" t="s">
        <v>380</v>
      </c>
      <c r="G4" s="16" t="s">
        <v>381</v>
      </c>
      <c r="H4" s="16" t="s">
        <v>804</v>
      </c>
    </row>
    <row r="5" customFormat="false" ht="15" hidden="false" customHeight="false" outlineLevel="0" collapsed="false">
      <c r="A5" s="14" t="s">
        <v>805</v>
      </c>
      <c r="C5" s="18" t="n">
        <f aca="false">Benefits!C20</f>
        <v>1</v>
      </c>
      <c r="D5" s="18" t="n">
        <f aca="false">Benefits!D20</f>
        <v>3</v>
      </c>
      <c r="E5" s="18" t="n">
        <f aca="false">Benefits!E20</f>
        <v>5</v>
      </c>
      <c r="F5" s="18" t="n">
        <f aca="false">Benefits!F20</f>
        <v>7</v>
      </c>
      <c r="G5" s="18" t="n">
        <f aca="false">Benefits!G20</f>
        <v>9</v>
      </c>
    </row>
    <row r="6" customFormat="false" ht="15" hidden="false" customHeight="false" outlineLevel="0" collapsed="false">
      <c r="A6" s="14" t="s">
        <v>806</v>
      </c>
      <c r="C6" s="18" t="n">
        <f aca="false">Benefits!C23</f>
        <v>157144.649685883</v>
      </c>
      <c r="D6" s="18" t="n">
        <f aca="false">Benefits!D23</f>
        <v>554579.562457265</v>
      </c>
      <c r="E6" s="18" t="n">
        <f aca="false">Benefits!E23</f>
        <v>1095943.90076902</v>
      </c>
      <c r="F6" s="18" t="n">
        <f aca="false">Benefits!F23</f>
        <v>1754579.2998047</v>
      </c>
      <c r="G6" s="18" t="n">
        <f aca="false">Benefits!G23</f>
        <v>2506455.54760586</v>
      </c>
      <c r="H6" s="76" t="n">
        <f aca="false">SUM(C6:G6)</f>
        <v>6068702.96032273</v>
      </c>
    </row>
    <row r="7" customFormat="false" ht="15" hidden="false" customHeight="false" outlineLevel="0" collapsed="false">
      <c r="A7" s="14" t="s">
        <v>807</v>
      </c>
      <c r="C7" s="18" t="n">
        <f aca="false">Pricing_Income!C18</f>
        <v>20000</v>
      </c>
      <c r="D7" s="18" t="n">
        <f aca="false">Pricing_Income!D18</f>
        <v>174704.960391316</v>
      </c>
      <c r="E7" s="18" t="n">
        <f aca="false">Pricing_Income!E18</f>
        <v>344378.670762514</v>
      </c>
      <c r="F7" s="18" t="n">
        <f aca="false">Pricing_Income!F18</f>
        <v>533070.589962263</v>
      </c>
      <c r="G7" s="18" t="n">
        <f aca="false">Pricing_Income!G18</f>
        <v>738038.325775667</v>
      </c>
      <c r="H7" s="76" t="n">
        <f aca="false">SUM(C7:G7)</f>
        <v>1810192.54689176</v>
      </c>
    </row>
    <row r="8" customFormat="false" ht="15" hidden="false" customHeight="false" outlineLevel="0" collapsed="false">
      <c r="A8" s="14" t="s">
        <v>808</v>
      </c>
      <c r="C8" s="18" t="n">
        <f aca="false">Pricing_Income!C20</f>
        <v>39926.504549484</v>
      </c>
      <c r="D8" s="18" t="n">
        <f aca="false">Pricing_Income!D20</f>
        <v>249652.354515831</v>
      </c>
      <c r="E8" s="18" t="n">
        <f aca="false">Pricing_Income!E20</f>
        <v>499086.173423819</v>
      </c>
      <c r="F8" s="18" t="n">
        <f aca="false">Pricing_Income!F20</f>
        <v>782063.569739308</v>
      </c>
      <c r="G8" s="18" t="n">
        <f aca="false">Pricing_Income!G20</f>
        <v>1087212.55135344</v>
      </c>
      <c r="H8" s="76" t="n">
        <f aca="false">SUM(C8:G8)</f>
        <v>2657941.15358188</v>
      </c>
    </row>
    <row r="9" customFormat="false" ht="15" hidden="false" customHeight="false" outlineLevel="0" collapsed="false">
      <c r="A9" s="14" t="s">
        <v>809</v>
      </c>
      <c r="C9" s="18" t="n">
        <f aca="false">Spendings!C14</f>
        <v>126008</v>
      </c>
      <c r="D9" s="18" t="n">
        <f aca="false">Spendings!D14</f>
        <v>157424</v>
      </c>
      <c r="E9" s="18" t="n">
        <f aca="false">Spendings!E14</f>
        <v>274622</v>
      </c>
      <c r="F9" s="18" t="n">
        <f aca="false">Spendings!F14</f>
        <v>277262</v>
      </c>
      <c r="G9" s="18" t="n">
        <f aca="false">Spendings!G14</f>
        <v>388460</v>
      </c>
      <c r="H9" s="76" t="n">
        <f aca="false">SUM(C9:G9)</f>
        <v>1223776</v>
      </c>
    </row>
    <row r="10" customFormat="false" ht="15" hidden="false" customHeight="false" outlineLevel="0" collapsed="false">
      <c r="A10" s="22" t="s">
        <v>810</v>
      </c>
      <c r="C10" s="75" t="n">
        <f aca="false">C8-C9</f>
        <v>-86081.495450516</v>
      </c>
      <c r="D10" s="75" t="n">
        <f aca="false">D8-D9</f>
        <v>92228.3545158311</v>
      </c>
      <c r="E10" s="75" t="n">
        <f aca="false">E8-E9</f>
        <v>224464.173423819</v>
      </c>
      <c r="F10" s="75" t="n">
        <f aca="false">F8-F9</f>
        <v>504801.569739308</v>
      </c>
      <c r="G10" s="75" t="n">
        <f aca="false">G8-G9</f>
        <v>698752.551353436</v>
      </c>
      <c r="H10" s="76" t="n">
        <f aca="false">SUM(C10:G10)</f>
        <v>1434165.15358188</v>
      </c>
    </row>
    <row r="11" customFormat="false" ht="15" hidden="false" customHeight="false" outlineLevel="0" collapsed="false">
      <c r="A11" s="22" t="s">
        <v>811</v>
      </c>
      <c r="C11" s="76" t="n">
        <f aca="false">C10</f>
        <v>-86081.495450516</v>
      </c>
      <c r="D11" s="76" t="n">
        <f aca="false">C11+D10</f>
        <v>6146.85906531508</v>
      </c>
      <c r="E11" s="76" t="n">
        <f aca="false">D11+E10</f>
        <v>230611.032489134</v>
      </c>
      <c r="F11" s="76" t="n">
        <f aca="false">E11+F10</f>
        <v>735412.602228443</v>
      </c>
      <c r="G11" s="76" t="n">
        <f aca="false">F11+G10</f>
        <v>1434165.15358188</v>
      </c>
    </row>
    <row r="12" customFormat="false" ht="15" hidden="false" customHeight="false" outlineLevel="0" collapsed="false">
      <c r="A12" s="14" t="s">
        <v>812</v>
      </c>
      <c r="C12" s="50" t="n">
        <f aca="false">IF(C8&lt;=0,"n/a",C10/C8)</f>
        <v>-2.15599878882031</v>
      </c>
      <c r="D12" s="50" t="n">
        <f aca="false">IF(D8&lt;=0,"n/a",D10/D8)</f>
        <v>0.36942713676663</v>
      </c>
      <c r="E12" s="50" t="n">
        <f aca="false">IF(E8&lt;=0,"n/a",E10/E8)</f>
        <v>0.449750334464198</v>
      </c>
      <c r="F12" s="50" t="n">
        <f aca="false">IF(F8&lt;=0,"n/a",F10/F8)</f>
        <v>0.645473832654778</v>
      </c>
      <c r="G12" s="50" t="n">
        <f aca="false">IF(G8&lt;=0,"n/a",G10/G8)</f>
        <v>0.642700960804381</v>
      </c>
    </row>
    <row r="13" customFormat="false" ht="15" hidden="false" customHeight="false" outlineLevel="0" collapsed="false">
      <c r="A13" s="22" t="s">
        <v>813</v>
      </c>
      <c r="C13" s="76" t="n">
        <f aca="false">C6-C7</f>
        <v>137144.649685883</v>
      </c>
      <c r="D13" s="76" t="n">
        <f aca="false">D6-D7</f>
        <v>379874.602065949</v>
      </c>
      <c r="E13" s="76" t="n">
        <f aca="false">E6-E7</f>
        <v>751565.230006509</v>
      </c>
      <c r="F13" s="76" t="n">
        <f aca="false">F6-F7</f>
        <v>1221508.70984244</v>
      </c>
      <c r="G13" s="76" t="n">
        <f aca="false">G6-G7</f>
        <v>1768417.22183019</v>
      </c>
      <c r="H13" s="76" t="n">
        <f aca="false">SUM(C13:G13)</f>
        <v>4258510.41343097</v>
      </c>
    </row>
    <row r="15" customFormat="false" ht="15" hidden="false" customHeight="false" outlineLevel="0" collapsed="false">
      <c r="A15" s="40" t="s">
        <v>814</v>
      </c>
      <c r="B15" s="41"/>
      <c r="C15" s="41"/>
      <c r="D15" s="41"/>
      <c r="E15" s="41"/>
      <c r="F15" s="41"/>
      <c r="G15" s="41"/>
      <c r="H15" s="41"/>
    </row>
    <row r="16" customFormat="false" ht="15" hidden="false" customHeight="false" outlineLevel="0" collapsed="false">
      <c r="A16" s="14" t="s">
        <v>815</v>
      </c>
      <c r="C16" s="82" t="n">
        <f aca="false">(H8-H9)/H9</f>
        <v>1.1719180255062</v>
      </c>
      <c r="D16" s="67" t="s">
        <v>816</v>
      </c>
    </row>
    <row r="17" customFormat="false" ht="15" hidden="false" customHeight="false" outlineLevel="0" collapsed="false">
      <c r="A17" s="14" t="s">
        <v>817</v>
      </c>
      <c r="C17" s="82" t="n">
        <f aca="false">(H6-H7)/H7</f>
        <v>2.35251792453966</v>
      </c>
      <c r="D17" s="67" t="s">
        <v>818</v>
      </c>
    </row>
    <row r="18" customFormat="false" ht="15" hidden="false" customHeight="false" outlineLevel="0" collapsed="false">
      <c r="A18" s="14" t="s">
        <v>819</v>
      </c>
      <c r="C18" s="87" t="str">
        <f aca="false">IF(C10&gt;0,"Y1",IF(D10&gt;0,"Y2",IF(E10&gt;0,"Y3",IF(F10&gt;0,"Y4",IF(G10&gt;0,"Y5","Not in 5 yrs")))))</f>
        <v>Y2</v>
      </c>
      <c r="D18" s="67"/>
    </row>
    <row r="19" customFormat="false" ht="15" hidden="false" customHeight="false" outlineLevel="0" collapsed="false">
      <c r="A19" s="14" t="s">
        <v>820</v>
      </c>
      <c r="C19" s="87" t="str">
        <f aca="false">IF(C11&gt;0,"Y1",IF(D11&gt;0,"Y2",IF(E11&gt;0,"Y3",IF(F11&gt;0,"Y4",IF(G11&gt;0,"Y5","Not in 5 yrs")))))</f>
        <v>Y2</v>
      </c>
      <c r="D19" s="67"/>
    </row>
    <row r="20" customFormat="false" ht="15" hidden="false" customHeight="false" outlineLevel="0" collapsed="false">
      <c r="A20" s="14" t="s">
        <v>821</v>
      </c>
      <c r="C20" s="87" t="str">
        <f aca="false">IF(C10&lt;0,"YES","NO")</f>
        <v>YES</v>
      </c>
      <c r="D20" s="67"/>
    </row>
    <row r="21" customFormat="false" ht="15" hidden="false" customHeight="false" outlineLevel="0" collapsed="false">
      <c r="A21" s="14" t="s">
        <v>822</v>
      </c>
      <c r="C21" s="87" t="str">
        <f aca="false">IF(AND(D10&gt;0,E10&gt;0,F10&gt;0,G10&gt;0),"YES","NO")</f>
        <v>YES</v>
      </c>
      <c r="D21" s="67"/>
    </row>
    <row r="22" customFormat="false" ht="15" hidden="false" customHeight="false" outlineLevel="0" collapsed="false">
      <c r="A22" s="14" t="s">
        <v>823</v>
      </c>
      <c r="C22" s="87" t="str">
        <f aca="false">Customer_ROI!C20</f>
        <v>YES</v>
      </c>
      <c r="D22" s="67"/>
    </row>
    <row r="24" customFormat="false" ht="15" hidden="false" customHeight="false" outlineLevel="0" collapsed="false">
      <c r="A24" s="40" t="s">
        <v>824</v>
      </c>
      <c r="B24" s="41"/>
      <c r="C24" s="41"/>
      <c r="D24" s="41"/>
      <c r="E24" s="41"/>
      <c r="F24" s="41"/>
      <c r="G24" s="41"/>
      <c r="H24" s="41"/>
    </row>
    <row r="25" customFormat="false" ht="15" hidden="false" customHeight="false" outlineLevel="0" collapsed="false">
      <c r="A25" s="15" t="s">
        <v>825</v>
      </c>
      <c r="B25" s="16"/>
      <c r="C25" s="16" t="s">
        <v>826</v>
      </c>
      <c r="D25" s="16" t="s">
        <v>827</v>
      </c>
      <c r="E25" s="16" t="s">
        <v>828</v>
      </c>
    </row>
    <row r="26" customFormat="false" ht="15" hidden="false" customHeight="false" outlineLevel="0" collapsed="false">
      <c r="A26" s="14" t="s">
        <v>377</v>
      </c>
      <c r="C26" s="92" t="n">
        <f aca="false">C10</f>
        <v>-86081.495450516</v>
      </c>
      <c r="D26" s="93" t="n">
        <f aca="false">1/(1+Assumptions!$B$58)^1</f>
        <v>0.869565217391304</v>
      </c>
      <c r="E26" s="92" t="n">
        <f aca="false">C26*D26</f>
        <v>-74853.4743047965</v>
      </c>
    </row>
    <row r="27" customFormat="false" ht="15" hidden="false" customHeight="false" outlineLevel="0" collapsed="false">
      <c r="A27" s="14" t="s">
        <v>378</v>
      </c>
      <c r="C27" s="92" t="n">
        <f aca="false">D10</f>
        <v>92228.3545158311</v>
      </c>
      <c r="D27" s="93" t="n">
        <f aca="false">1/(1+Assumptions!$B$58)^2</f>
        <v>0.756143667296787</v>
      </c>
      <c r="E27" s="92" t="n">
        <f aca="false">C27*D27</f>
        <v>69737.8862123487</v>
      </c>
    </row>
    <row r="28" customFormat="false" ht="15" hidden="false" customHeight="false" outlineLevel="0" collapsed="false">
      <c r="A28" s="14" t="s">
        <v>379</v>
      </c>
      <c r="C28" s="92" t="n">
        <f aca="false">E10</f>
        <v>224464.173423819</v>
      </c>
      <c r="D28" s="93" t="n">
        <f aca="false">1/(1+Assumptions!$B$58)^3</f>
        <v>0.657516232431988</v>
      </c>
      <c r="E28" s="92" t="n">
        <f aca="false">C28*D28</f>
        <v>147588.83762559</v>
      </c>
    </row>
    <row r="29" customFormat="false" ht="15" hidden="false" customHeight="false" outlineLevel="0" collapsed="false">
      <c r="A29" s="14" t="s">
        <v>380</v>
      </c>
      <c r="C29" s="92" t="n">
        <f aca="false">F10</f>
        <v>504801.569739308</v>
      </c>
      <c r="D29" s="93" t="n">
        <f aca="false">1/(1+Assumptions!$B$58)^4</f>
        <v>0.571753245593033</v>
      </c>
      <c r="E29" s="92" t="n">
        <f aca="false">C29*D29</f>
        <v>288621.935878908</v>
      </c>
    </row>
    <row r="30" customFormat="false" ht="15" hidden="false" customHeight="false" outlineLevel="0" collapsed="false">
      <c r="A30" s="14" t="s">
        <v>381</v>
      </c>
      <c r="C30" s="92" t="n">
        <f aca="false">G10</f>
        <v>698752.551353436</v>
      </c>
      <c r="D30" s="93" t="n">
        <f aca="false">1/(1+Assumptions!$B$58)^5</f>
        <v>0.49717673529829</v>
      </c>
      <c r="E30" s="92" t="n">
        <f aca="false">C30*D30</f>
        <v>347403.512263252</v>
      </c>
    </row>
    <row r="31" customFormat="false" ht="15" hidden="false" customHeight="false" outlineLevel="0" collapsed="false">
      <c r="A31" s="22" t="s">
        <v>829</v>
      </c>
      <c r="E31" s="76" t="n">
        <f aca="false">SUM(E26:E30)</f>
        <v>778498.697675302</v>
      </c>
    </row>
    <row r="33" customFormat="false" ht="15" hidden="false" customHeight="false" outlineLevel="0" collapsed="false">
      <c r="A33" s="10" t="s">
        <v>830</v>
      </c>
    </row>
    <row r="35" customFormat="false" ht="15" hidden="false" customHeight="false" outlineLevel="0" collapsed="false">
      <c r="A35" s="57" t="s">
        <v>831</v>
      </c>
      <c r="B35" s="58"/>
      <c r="C35" s="58"/>
      <c r="D35" s="58"/>
      <c r="E35" s="58"/>
      <c r="F35" s="58"/>
      <c r="G35" s="58"/>
      <c r="H35" s="58"/>
    </row>
    <row r="36" customFormat="false" ht="15" hidden="false" customHeight="false" outlineLevel="0" collapsed="false">
      <c r="A36" s="77" t="s">
        <v>832</v>
      </c>
      <c r="C36" s="18" t="n">
        <f aca="false">Assumptions!$B$87</f>
        <v>120000</v>
      </c>
      <c r="D36" s="18" t="n">
        <f aca="false">0</f>
        <v>0</v>
      </c>
      <c r="E36" s="18" t="n">
        <f aca="false">0</f>
        <v>0</v>
      </c>
      <c r="F36" s="18" t="n">
        <f aca="false">0</f>
        <v>0</v>
      </c>
      <c r="G36" s="18" t="n">
        <f aca="false">0</f>
        <v>0</v>
      </c>
      <c r="H36" s="76" t="n">
        <f aca="false">SUM(C36:G36)</f>
        <v>120000</v>
      </c>
    </row>
    <row r="37" customFormat="false" ht="15" hidden="false" customHeight="false" outlineLevel="0" collapsed="false">
      <c r="A37" s="57" t="s">
        <v>833</v>
      </c>
      <c r="C37" s="76" t="n">
        <f aca="false">C10+C36</f>
        <v>33918.504549484</v>
      </c>
      <c r="D37" s="76" t="n">
        <f aca="false">C37+D10+D36</f>
        <v>126146.859065315</v>
      </c>
      <c r="E37" s="76" t="n">
        <f aca="false">D37+E10+E36</f>
        <v>350611.032489134</v>
      </c>
      <c r="F37" s="76" t="n">
        <f aca="false">E37+F10+F36</f>
        <v>855412.602228443</v>
      </c>
      <c r="G37" s="76" t="n">
        <f aca="false">F37+G10+G36</f>
        <v>1554165.15358188</v>
      </c>
    </row>
    <row r="38" customFormat="false" ht="15" hidden="false" customHeight="false" outlineLevel="0" collapsed="false">
      <c r="A38" s="77" t="s">
        <v>834</v>
      </c>
      <c r="C38" s="87" t="str">
        <f aca="false">IF(MIN(C37:G37)&gt;=0,"YES","NO")</f>
        <v>YES</v>
      </c>
      <c r="D38" s="67"/>
    </row>
    <row r="39" customFormat="false" ht="15" hidden="false" customHeight="false" outlineLevel="0" collapsed="false">
      <c r="A39" s="77" t="s">
        <v>835</v>
      </c>
      <c r="C39" s="76" t="n">
        <f aca="false">NPV(Assumptions!$B$58,C13:G13)</f>
        <v>2478279.80066535</v>
      </c>
      <c r="D39" s="67" t="s">
        <v>836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5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837</v>
      </c>
    </row>
    <row r="2" customFormat="false" ht="15" hidden="false" customHeight="false" outlineLevel="0" collapsed="false">
      <c r="A2" s="2" t="s">
        <v>838</v>
      </c>
    </row>
    <row r="4" customFormat="false" ht="15" hidden="false" customHeight="false" outlineLevel="0" collapsed="false">
      <c r="A4" s="15" t="s">
        <v>404</v>
      </c>
      <c r="B4" s="16" t="s">
        <v>18</v>
      </c>
      <c r="C4" s="16" t="s">
        <v>19</v>
      </c>
    </row>
    <row r="5" customFormat="false" ht="15" hidden="false" customHeight="false" outlineLevel="0" collapsed="false">
      <c r="A5" s="14" t="s">
        <v>407</v>
      </c>
      <c r="B5" s="21" t="n">
        <f aca="false">Scenarios!B5</f>
        <v>1</v>
      </c>
      <c r="C5" s="21" t="n">
        <f aca="false">Scenarios!C5</f>
        <v>0</v>
      </c>
    </row>
    <row r="6" customFormat="false" ht="15" hidden="false" customHeight="false" outlineLevel="0" collapsed="false">
      <c r="A6" s="14" t="s">
        <v>409</v>
      </c>
      <c r="B6" s="18" t="n">
        <f aca="false">Scenarios!B6</f>
        <v>60</v>
      </c>
      <c r="C6" s="18" t="n">
        <f aca="false">Scenarios!C6</f>
        <v>30</v>
      </c>
    </row>
    <row r="7" customFormat="false" ht="15" hidden="false" customHeight="false" outlineLevel="0" collapsed="false">
      <c r="A7" s="14" t="s">
        <v>411</v>
      </c>
      <c r="B7" s="18" t="n">
        <f aca="false">Scenarios!B7</f>
        <v>1000</v>
      </c>
      <c r="C7" s="18" t="n">
        <f aca="false">Scenarios!C7</f>
        <v>500</v>
      </c>
    </row>
    <row r="8" customFormat="false" ht="15" hidden="false" customHeight="false" outlineLevel="0" collapsed="false">
      <c r="A8" s="14" t="s">
        <v>413</v>
      </c>
      <c r="B8" s="18" t="n">
        <f aca="false">Scenarios!B8</f>
        <v>2</v>
      </c>
      <c r="C8" s="18" t="n">
        <f aca="false">Scenarios!C8</f>
        <v>1</v>
      </c>
    </row>
    <row r="9" customFormat="false" ht="15" hidden="false" customHeight="false" outlineLevel="0" collapsed="false">
      <c r="A9" s="14" t="s">
        <v>415</v>
      </c>
      <c r="B9" s="21" t="n">
        <f aca="false">Scenarios!B9</f>
        <v>0.5</v>
      </c>
      <c r="C9" s="21" t="n">
        <f aca="false">Scenarios!C9</f>
        <v>0.3</v>
      </c>
    </row>
    <row r="10" customFormat="false" ht="15" hidden="false" customHeight="false" outlineLevel="0" collapsed="false">
      <c r="A10" s="14" t="s">
        <v>185</v>
      </c>
      <c r="B10" s="21" t="n">
        <f aca="false">Scenarios!B10</f>
        <v>0.15</v>
      </c>
      <c r="C10" s="21" t="n">
        <f aca="false">Scenarios!C10</f>
        <v>0.2</v>
      </c>
    </row>
    <row r="11" customFormat="false" ht="15" hidden="false" customHeight="false" outlineLevel="0" collapsed="false">
      <c r="A11" s="14" t="s">
        <v>418</v>
      </c>
      <c r="B11" s="21" t="n">
        <f aca="false">Scenarios!B11</f>
        <v>0</v>
      </c>
      <c r="C11" s="21" t="n">
        <f aca="false">Scenarios!C11</f>
        <v>0.2</v>
      </c>
    </row>
    <row r="12" customFormat="false" ht="15" hidden="false" customHeight="false" outlineLevel="0" collapsed="false">
      <c r="A12" s="14" t="s">
        <v>420</v>
      </c>
      <c r="B12" s="68" t="n">
        <f aca="false">Scenarios!B12</f>
        <v>0.6</v>
      </c>
      <c r="C12" s="68" t="n">
        <f aca="false">Scenarios!C12</f>
        <v>0.4</v>
      </c>
    </row>
    <row r="13" customFormat="false" ht="15" hidden="false" customHeight="false" outlineLevel="0" collapsed="false">
      <c r="A13" s="14" t="s">
        <v>422</v>
      </c>
      <c r="B13" s="21" t="n">
        <f aca="false">Scenarios!B13</f>
        <v>0.02</v>
      </c>
      <c r="C13" s="21" t="n">
        <f aca="false">Scenarios!C13</f>
        <v>0.1</v>
      </c>
    </row>
    <row r="14" customFormat="false" ht="15" hidden="false" customHeight="false" outlineLevel="0" collapsed="false">
      <c r="A14" s="14" t="s">
        <v>424</v>
      </c>
      <c r="B14" s="18" t="n">
        <f aca="false">Scenarios!B14</f>
        <v>1</v>
      </c>
      <c r="C14" s="18" t="n">
        <f aca="false">Scenarios!C14</f>
        <v>0</v>
      </c>
    </row>
    <row r="15" customFormat="false" ht="15" hidden="false" customHeight="false" outlineLevel="0" collapsed="false">
      <c r="A15" s="14" t="s">
        <v>426</v>
      </c>
      <c r="B15" s="69" t="n">
        <f aca="false">Scenarios!B15</f>
        <v>2</v>
      </c>
      <c r="C15" s="69" t="n">
        <f aca="false">Scenarios!C15</f>
        <v>1.5</v>
      </c>
    </row>
    <row r="16" customFormat="false" ht="15" hidden="false" customHeight="false" outlineLevel="0" collapsed="false">
      <c r="A16" s="14" t="s">
        <v>428</v>
      </c>
      <c r="B16" s="18" t="n">
        <f aca="false">Scenarios!B16</f>
        <v>30</v>
      </c>
      <c r="C16" s="18" t="n">
        <f aca="false">Scenarios!C16</f>
        <v>20</v>
      </c>
    </row>
    <row r="17" customFormat="false" ht="15" hidden="false" customHeight="false" outlineLevel="0" collapsed="false">
      <c r="A17" s="14" t="s">
        <v>430</v>
      </c>
      <c r="B17" s="21" t="n">
        <f aca="false">Scenarios!B17</f>
        <v>0</v>
      </c>
      <c r="C17" s="21" t="n">
        <f aca="false">Scenarios!C17</f>
        <v>0.2</v>
      </c>
    </row>
    <row r="18" customFormat="false" ht="15" hidden="false" customHeight="false" outlineLevel="0" collapsed="false">
      <c r="A18" s="14" t="s">
        <v>432</v>
      </c>
      <c r="B18" s="21" t="n">
        <f aca="false">Scenarios!B18</f>
        <v>0</v>
      </c>
      <c r="C18" s="21" t="n">
        <f aca="false">Scenarios!C18</f>
        <v>0.5</v>
      </c>
    </row>
    <row r="19" customFormat="false" ht="15" hidden="false" customHeight="false" outlineLevel="0" collapsed="false">
      <c r="A19" s="14" t="s">
        <v>434</v>
      </c>
      <c r="B19" s="21" t="n">
        <f aca="false">Scenarios!B19</f>
        <v>0</v>
      </c>
      <c r="C19" s="21" t="n">
        <f aca="false">Scenarios!C19</f>
        <v>0.1</v>
      </c>
    </row>
    <row r="20" customFormat="false" ht="15" hidden="false" customHeight="false" outlineLevel="0" collapsed="false">
      <c r="A20" s="14" t="s">
        <v>436</v>
      </c>
      <c r="B20" s="91" t="n">
        <f aca="false">Scenarios!B20</f>
        <v>1</v>
      </c>
      <c r="C20" s="91" t="n">
        <f aca="false">Scenarios!C20</f>
        <v>0</v>
      </c>
    </row>
    <row r="21" customFormat="false" ht="15" hidden="false" customHeight="false" outlineLevel="0" collapsed="false">
      <c r="A21" s="14" t="s">
        <v>438</v>
      </c>
      <c r="B21" s="18" t="n">
        <f aca="false">Scenarios!B21</f>
        <v>10</v>
      </c>
      <c r="C21" s="18" t="n">
        <f aca="false">Scenarios!C21</f>
        <v>5</v>
      </c>
    </row>
    <row r="22" customFormat="false" ht="15" hidden="false" customHeight="false" outlineLevel="0" collapsed="false">
      <c r="A22" s="14" t="s">
        <v>440</v>
      </c>
      <c r="B22" s="18" t="n">
        <f aca="false">Scenarios!B22</f>
        <v>10</v>
      </c>
      <c r="C22" s="18" t="n">
        <f aca="false">Scenarios!C22</f>
        <v>5</v>
      </c>
    </row>
    <row r="23" customFormat="false" ht="15" hidden="false" customHeight="false" outlineLevel="0" collapsed="false">
      <c r="A23" s="14" t="s">
        <v>442</v>
      </c>
      <c r="B23" s="21" t="n">
        <f aca="false">Scenarios!B23</f>
        <v>0.3</v>
      </c>
      <c r="C23" s="21" t="n">
        <f aca="false">Scenarios!C23</f>
        <v>0.2</v>
      </c>
    </row>
    <row r="25" customFormat="false" ht="15" hidden="false" customHeight="false" outlineLevel="0" collapsed="false">
      <c r="A25" s="15" t="s">
        <v>17</v>
      </c>
      <c r="B25" s="16" t="s">
        <v>18</v>
      </c>
      <c r="C25" s="16" t="s">
        <v>19</v>
      </c>
      <c r="D25" s="16" t="s">
        <v>839</v>
      </c>
      <c r="E25" s="16" t="s">
        <v>840</v>
      </c>
      <c r="F25" s="16" t="s">
        <v>841</v>
      </c>
    </row>
    <row r="26" customFormat="false" ht="15" hidden="false" customHeight="false" outlineLevel="0" collapsed="false">
      <c r="A26" s="14" t="s">
        <v>20</v>
      </c>
      <c r="B26" s="18" t="n">
        <f aca="false">Customer_ROI!C8</f>
        <v>137144.649685883</v>
      </c>
      <c r="C26" s="18" t="n">
        <f aca="false">C_Customer_ROI!C8</f>
        <v>22856.605648698</v>
      </c>
      <c r="D26" s="43" t="s">
        <v>842</v>
      </c>
      <c r="E26" s="22" t="str">
        <f aca="false">IF(B26&gt;0,"PASS","FAIL")</f>
        <v>PASS</v>
      </c>
      <c r="F26" s="22" t="str">
        <f aca="false">IF(C26&gt;0,"PASS","FAIL")</f>
        <v>PASS</v>
      </c>
    </row>
    <row r="27" customFormat="false" ht="15" hidden="false" customHeight="false" outlineLevel="0" collapsed="false">
      <c r="A27" s="14" t="s">
        <v>21</v>
      </c>
      <c r="B27" s="18" t="n">
        <f aca="false">Customer_ROI!C10</f>
        <v>33144.6496858832</v>
      </c>
      <c r="C27" s="18" t="n">
        <f aca="false">C_Customer_ROI!C10</f>
        <v>22856.605648698</v>
      </c>
      <c r="D27" s="43" t="s">
        <v>842</v>
      </c>
      <c r="E27" s="22" t="str">
        <f aca="false">IF(B27&gt;0,"PASS","FAIL")</f>
        <v>PASS</v>
      </c>
      <c r="F27" s="22" t="str">
        <f aca="false">IF(C27&gt;0,"PASS","FAIL")</f>
        <v>PASS</v>
      </c>
    </row>
    <row r="28" customFormat="false" ht="15" hidden="false" customHeight="false" outlineLevel="0" collapsed="false">
      <c r="A28" s="14" t="s">
        <v>22</v>
      </c>
      <c r="B28" s="18" t="n">
        <f aca="false">Customer_ROI!C16</f>
        <v>82286.7898115299</v>
      </c>
      <c r="C28" s="18" t="n">
        <f aca="false">C_Customer_ROI!C16</f>
        <v>9142.64225947921</v>
      </c>
      <c r="D28" s="43" t="s">
        <v>842</v>
      </c>
      <c r="E28" s="22" t="str">
        <f aca="false">IF(B28&gt;0,"PASS","FAIL")</f>
        <v>PASS</v>
      </c>
      <c r="F28" s="22" t="str">
        <f aca="false">IF(C28&gt;0,"PASS","FAIL")</f>
        <v>PASS</v>
      </c>
    </row>
    <row r="29" customFormat="false" ht="15" hidden="false" customHeight="false" outlineLevel="0" collapsed="false">
      <c r="A29" s="14" t="s">
        <v>23</v>
      </c>
      <c r="B29" s="18" t="n">
        <f aca="false">Pools!C50</f>
        <v>82163.2986428572</v>
      </c>
      <c r="C29" s="18" t="n">
        <f aca="false">C_Pools!C50</f>
        <v>50465.8974111412</v>
      </c>
      <c r="D29" s="43" t="s">
        <v>842</v>
      </c>
      <c r="E29" s="22" t="str">
        <f aca="false">IF(B29&gt;0,"PASS","FAIL")</f>
        <v>PASS</v>
      </c>
      <c r="F29" s="22" t="str">
        <f aca="false">IF(C29&gt;0,"PASS","FAIL")</f>
        <v>PASS</v>
      </c>
    </row>
    <row r="30" customFormat="false" ht="15" hidden="false" customHeight="false" outlineLevel="0" collapsed="false">
      <c r="A30" s="14" t="s">
        <v>24</v>
      </c>
      <c r="B30" s="20" t="n">
        <f aca="false">Investor_ROI!B11</f>
        <v>0.0454756300467933</v>
      </c>
      <c r="C30" s="20" t="n">
        <f aca="false">Investor_ROI!C11</f>
        <v>0.0454756300467933</v>
      </c>
      <c r="D30" s="43" t="s">
        <v>842</v>
      </c>
      <c r="E30" s="22" t="str">
        <f aca="false">IF(B30&gt;0,"PASS","FAIL")</f>
        <v>PASS</v>
      </c>
      <c r="F30" s="22" t="str">
        <f aca="false">IF(C30&gt;0,"PASS","FAIL")</f>
        <v>PASS</v>
      </c>
    </row>
    <row r="31" customFormat="false" ht="15" hidden="false" customHeight="false" outlineLevel="0" collapsed="false">
      <c r="A31" s="14" t="s">
        <v>25</v>
      </c>
      <c r="B31" s="20" t="n">
        <f aca="false">Investor_ROI!B25</f>
        <v>0.0548412896873462</v>
      </c>
      <c r="C31" s="20" t="n">
        <f aca="false">Investor_ROI!C25</f>
        <v>0.0129472724282875</v>
      </c>
      <c r="D31" s="43" t="s">
        <v>842</v>
      </c>
      <c r="E31" s="22" t="str">
        <f aca="false">IF(B31&gt;0,"PASS","FAIL")</f>
        <v>PASS</v>
      </c>
      <c r="F31" s="22" t="str">
        <f aca="false">IF(C31&gt;0,"PASS","FAIL")</f>
        <v>PASS</v>
      </c>
    </row>
    <row r="32" customFormat="false" ht="15" hidden="false" customHeight="false" outlineLevel="0" collapsed="false">
      <c r="A32" s="14" t="s">
        <v>26</v>
      </c>
      <c r="B32" s="21" t="n">
        <f aca="false">Investor_ROI!B36</f>
        <v>0</v>
      </c>
      <c r="C32" s="21" t="n">
        <f aca="false">Investor_ROI!C36</f>
        <v>0.4</v>
      </c>
      <c r="D32" s="43" t="s">
        <v>843</v>
      </c>
      <c r="E32" s="22" t="str">
        <f aca="false">IF(B32&lt;=0.5,"PASS","FAIL")</f>
        <v>PASS</v>
      </c>
      <c r="F32" s="22" t="str">
        <f aca="false">IF(C32&lt;=0.5,"PASS","FAIL")</f>
        <v>PASS</v>
      </c>
    </row>
    <row r="33" customFormat="false" ht="15" hidden="false" customHeight="false" outlineLevel="0" collapsed="false">
      <c r="A33" s="14" t="s">
        <v>27</v>
      </c>
      <c r="B33" s="18" t="n">
        <f aca="false">ROI!D10</f>
        <v>92228.3545158311</v>
      </c>
      <c r="C33" s="18" t="n">
        <f aca="false">C_ROI!D10</f>
        <v>5033.9555125722</v>
      </c>
      <c r="D33" s="43" t="s">
        <v>842</v>
      </c>
      <c r="E33" s="22" t="str">
        <f aca="false">IF(B33&gt;0,"PASS","FAIL")</f>
        <v>PASS</v>
      </c>
      <c r="F33" s="22" t="str">
        <f aca="false">IF(C33&gt;0,"PASS","FAIL")</f>
        <v>PASS</v>
      </c>
    </row>
    <row r="34" customFormat="false" ht="15" hidden="false" customHeight="false" outlineLevel="0" collapsed="false">
      <c r="A34" s="14" t="s">
        <v>28</v>
      </c>
      <c r="B34" s="18" t="n">
        <f aca="false">ROI!H10</f>
        <v>1434165.15358188</v>
      </c>
      <c r="C34" s="18" t="n">
        <f aca="false">C_ROI!H10</f>
        <v>131171.913679976</v>
      </c>
      <c r="D34" s="43" t="s">
        <v>842</v>
      </c>
      <c r="E34" s="22" t="str">
        <f aca="false">IF(B34&gt;0,"PASS","FAIL")</f>
        <v>PASS</v>
      </c>
      <c r="F34" s="22" t="str">
        <f aca="false">IF(C34&gt;0,"PASS","FAIL")</f>
        <v>PASS</v>
      </c>
    </row>
    <row r="35" customFormat="false" ht="15" hidden="false" customHeight="false" outlineLevel="0" collapsed="false">
      <c r="A35" s="14" t="s">
        <v>29</v>
      </c>
      <c r="B35" s="18" t="n">
        <f aca="false">ROI!E31</f>
        <v>778498.697675302</v>
      </c>
      <c r="C35" s="18" t="n">
        <f aca="false">C_ROI!E31</f>
        <v>22817.9071005114</v>
      </c>
      <c r="D35" s="43" t="s">
        <v>842</v>
      </c>
      <c r="E35" s="22" t="str">
        <f aca="false">IF(B35&gt;0,"PASS","FAIL")</f>
        <v>PASS</v>
      </c>
      <c r="F35" s="22" t="str">
        <f aca="false">IF(C35&gt;0,"PASS","FAIL")</f>
        <v>PASS</v>
      </c>
    </row>
    <row r="36" customFormat="false" ht="15" hidden="false" customHeight="false" outlineLevel="0" collapsed="false">
      <c r="A36" s="14" t="s">
        <v>30</v>
      </c>
      <c r="B36" s="18" t="n">
        <f aca="false">MIN(ROI!C37:G37)</f>
        <v>33918.504549484</v>
      </c>
      <c r="C36" s="18" t="n">
        <f aca="false">MIN(C_ROI!C37:G37)</f>
        <v>12403.7164751136</v>
      </c>
      <c r="D36" s="43" t="s">
        <v>844</v>
      </c>
      <c r="E36" s="22" t="str">
        <f aca="false">IF(B36&gt;=0,"PASS","FAIL")</f>
        <v>PASS</v>
      </c>
      <c r="F36" s="22" t="str">
        <f aca="false">IF(C36&gt;=0,"PASS","FAIL")</f>
        <v>PASS</v>
      </c>
    </row>
    <row r="37" customFormat="false" ht="15" hidden="false" customHeight="false" outlineLevel="0" collapsed="false">
      <c r="A37" s="14" t="s">
        <v>31</v>
      </c>
      <c r="B37" s="18" t="n">
        <f aca="false">MIN(ROI!D10:G10)</f>
        <v>92228.3545158311</v>
      </c>
      <c r="C37" s="18" t="n">
        <f aca="false">MIN(C_ROI!D10:G10)</f>
        <v>5033.9555125722</v>
      </c>
      <c r="D37" s="43" t="s">
        <v>842</v>
      </c>
      <c r="E37" s="22" t="str">
        <f aca="false">IF(B37&gt;0,"PASS","FAIL")</f>
        <v>PASS</v>
      </c>
      <c r="F37" s="22" t="str">
        <f aca="false">IF(C37&gt;0,"PASS","FAIL")</f>
        <v>PASS</v>
      </c>
    </row>
    <row r="38" customFormat="false" ht="15" hidden="false" customHeight="false" outlineLevel="0" collapsed="false">
      <c r="A38" s="22" t="s">
        <v>845</v>
      </c>
      <c r="E38" s="22" t="str">
        <f aca="false">IF(COUNTIF(E26:E37,"FAIL")=0,"ALL PASS","SOME FAIL")</f>
        <v>ALL PASS</v>
      </c>
      <c r="F38" s="22" t="str">
        <f aca="false">IF(COUNTIF(F26:F37,"FAIL")=0,"ALL PASS","SOME FAIL")</f>
        <v>ALL PASS</v>
      </c>
    </row>
    <row r="40" customFormat="false" ht="15" hidden="false" customHeight="false" outlineLevel="0" collapsed="false">
      <c r="A40" s="22" t="s">
        <v>846</v>
      </c>
    </row>
    <row r="41" customFormat="false" ht="15" hidden="false" customHeight="false" outlineLevel="0" collapsed="false">
      <c r="A41" s="94" t="s">
        <v>847</v>
      </c>
    </row>
    <row r="42" customFormat="false" ht="15" hidden="false" customHeight="false" outlineLevel="0" collapsed="false">
      <c r="A42" s="94" t="s">
        <v>848</v>
      </c>
    </row>
    <row r="43" customFormat="false" ht="15" hidden="false" customHeight="false" outlineLevel="0" collapsed="false">
      <c r="A43" s="94" t="s">
        <v>849</v>
      </c>
    </row>
    <row r="44" customFormat="false" ht="15" hidden="false" customHeight="false" outlineLevel="0" collapsed="false">
      <c r="A44" s="94" t="s">
        <v>850</v>
      </c>
    </row>
    <row r="45" customFormat="false" ht="15" hidden="false" customHeight="false" outlineLevel="0" collapsed="false">
      <c r="A45" s="94" t="s">
        <v>851</v>
      </c>
    </row>
    <row r="46" customFormat="false" ht="15" hidden="false" customHeight="false" outlineLevel="0" collapsed="false">
      <c r="A46" s="94" t="s">
        <v>852</v>
      </c>
    </row>
    <row r="47" customFormat="false" ht="15" hidden="false" customHeight="false" outlineLevel="0" collapsed="false">
      <c r="A47" s="94" t="s">
        <v>853</v>
      </c>
    </row>
    <row r="48" customFormat="false" ht="15" hidden="false" customHeight="false" outlineLevel="0" collapsed="false">
      <c r="A48" s="94" t="s">
        <v>854</v>
      </c>
    </row>
    <row r="49" customFormat="false" ht="15" hidden="false" customHeight="false" outlineLevel="0" collapsed="false">
      <c r="A49" s="94" t="s">
        <v>855</v>
      </c>
    </row>
    <row r="50" customFormat="false" ht="15" hidden="false" customHeight="false" outlineLevel="0" collapsed="false">
      <c r="A50" s="94" t="s">
        <v>856</v>
      </c>
    </row>
    <row r="51" customFormat="false" ht="15" hidden="false" customHeight="false" outlineLevel="0" collapsed="false">
      <c r="A51" s="94" t="s">
        <v>857</v>
      </c>
    </row>
    <row r="52" customFormat="false" ht="15" hidden="false" customHeight="false" outlineLevel="0" collapsed="false">
      <c r="A52" s="94" t="s">
        <v>858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859</v>
      </c>
    </row>
    <row r="2" customFormat="false" ht="15" hidden="false" customHeight="false" outlineLevel="0" collapsed="false">
      <c r="A2" s="2" t="s">
        <v>860</v>
      </c>
    </row>
    <row r="3" customFormat="false" ht="15" hidden="false" customHeight="false" outlineLevel="0" collapsed="false">
      <c r="A3" s="95" t="s">
        <v>825</v>
      </c>
      <c r="B3" s="95" t="s">
        <v>861</v>
      </c>
      <c r="C3" s="95" t="s">
        <v>862</v>
      </c>
      <c r="D3" s="95" t="s">
        <v>811</v>
      </c>
      <c r="E3" s="95" t="s">
        <v>863</v>
      </c>
      <c r="F3" s="95" t="s">
        <v>864</v>
      </c>
      <c r="G3" s="95" t="s">
        <v>865</v>
      </c>
      <c r="H3" s="95" t="s">
        <v>866</v>
      </c>
    </row>
    <row r="4" customFormat="false" ht="15" hidden="false" customHeight="false" outlineLevel="0" collapsed="false">
      <c r="A4" s="0" t="s">
        <v>377</v>
      </c>
      <c r="B4" s="18" t="n">
        <f aca="false">ROI!C8</f>
        <v>39926.504549484</v>
      </c>
      <c r="C4" s="18" t="n">
        <f aca="false">ROI!C9</f>
        <v>126008</v>
      </c>
      <c r="D4" s="18" t="n">
        <f aca="false">ROI!C11</f>
        <v>-86081.495450516</v>
      </c>
      <c r="E4" s="18" t="n">
        <f aca="false">Customer_ROI!C6</f>
        <v>157144.649685883</v>
      </c>
      <c r="F4" s="18" t="n">
        <f aca="false">Customer_ROI!C7</f>
        <v>20000</v>
      </c>
      <c r="G4" s="18" t="n">
        <f aca="false">ROI!C10</f>
        <v>-86081.495450516</v>
      </c>
      <c r="H4" s="18" t="n">
        <f aca="false">C_ROI!C10</f>
        <v>-107596.283524886</v>
      </c>
    </row>
    <row r="5" customFormat="false" ht="15" hidden="false" customHeight="false" outlineLevel="0" collapsed="false">
      <c r="A5" s="0" t="s">
        <v>378</v>
      </c>
      <c r="B5" s="18" t="n">
        <f aca="false">ROI!D8</f>
        <v>249652.354515831</v>
      </c>
      <c r="C5" s="18" t="n">
        <f aca="false">ROI!D9</f>
        <v>157424</v>
      </c>
      <c r="D5" s="18" t="n">
        <f aca="false">ROI!D11</f>
        <v>6146.85906531508</v>
      </c>
      <c r="E5" s="18" t="n">
        <f aca="false">Customer_ROI!D6</f>
        <v>366005.982834205</v>
      </c>
      <c r="F5" s="18" t="n">
        <f aca="false">Customer_ROI!D7</f>
        <v>150704.960391316</v>
      </c>
      <c r="G5" s="18" t="n">
        <f aca="false">ROI!D10</f>
        <v>92228.3545158311</v>
      </c>
      <c r="H5" s="18" t="n">
        <f aca="false">C_ROI!D10</f>
        <v>5033.9555125722</v>
      </c>
    </row>
    <row r="6" customFormat="false" ht="15" hidden="false" customHeight="false" outlineLevel="0" collapsed="false">
      <c r="A6" s="0" t="s">
        <v>379</v>
      </c>
      <c r="B6" s="18" t="n">
        <f aca="false">ROI!E8</f>
        <v>499086.173423819</v>
      </c>
      <c r="C6" s="18" t="n">
        <f aca="false">ROI!E9</f>
        <v>274622</v>
      </c>
      <c r="D6" s="18" t="n">
        <f aca="false">ROI!E11</f>
        <v>230611.032489134</v>
      </c>
      <c r="E6" s="18" t="n">
        <f aca="false">Customer_ROI!E6</f>
        <v>468163.141744917</v>
      </c>
      <c r="F6" s="18" t="n">
        <f aca="false">Customer_ROI!E7</f>
        <v>139532.718292935</v>
      </c>
      <c r="G6" s="18" t="n">
        <f aca="false">ROI!E10</f>
        <v>224464.173423819</v>
      </c>
      <c r="H6" s="18" t="n">
        <f aca="false">C_ROI!E10</f>
        <v>47108.1522291173</v>
      </c>
    </row>
    <row r="7" customFormat="false" ht="15" hidden="false" customHeight="false" outlineLevel="0" collapsed="false">
      <c r="A7" s="0" t="s">
        <v>380</v>
      </c>
      <c r="B7" s="18" t="n">
        <f aca="false">ROI!F8</f>
        <v>782063.569739308</v>
      </c>
      <c r="C7" s="18" t="n">
        <f aca="false">ROI!F9</f>
        <v>277262</v>
      </c>
      <c r="D7" s="18" t="n">
        <f aca="false">ROI!F11</f>
        <v>735412.602228443</v>
      </c>
      <c r="E7" s="18" t="n">
        <f aca="false">Customer_ROI!F6</f>
        <v>565002.770686696</v>
      </c>
      <c r="F7" s="18" t="n">
        <f aca="false">Customer_ROI!F7</f>
        <v>160785.375541162</v>
      </c>
      <c r="G7" s="18" t="n">
        <f aca="false">ROI!F10</f>
        <v>504801.569739308</v>
      </c>
      <c r="H7" s="18" t="n">
        <f aca="false">C_ROI!F10</f>
        <v>83647.0215736097</v>
      </c>
    </row>
    <row r="8" customFormat="false" ht="15" hidden="false" customHeight="false" outlineLevel="0" collapsed="false">
      <c r="A8" s="0" t="s">
        <v>381</v>
      </c>
      <c r="B8" s="18" t="n">
        <f aca="false">ROI!G8</f>
        <v>1087212.55135344</v>
      </c>
      <c r="C8" s="18" t="n">
        <f aca="false">ROI!G9</f>
        <v>388460</v>
      </c>
      <c r="D8" s="18" t="n">
        <f aca="false">ROI!G11</f>
        <v>1434165.15358188</v>
      </c>
      <c r="E8" s="18" t="n">
        <f aca="false">Customer_ROI!G6</f>
        <v>638875.693663814</v>
      </c>
      <c r="F8" s="18" t="n">
        <f aca="false">Customer_ROI!G7</f>
        <v>172810.660705171</v>
      </c>
      <c r="G8" s="18" t="n">
        <f aca="false">ROI!G10</f>
        <v>698752.551353436</v>
      </c>
      <c r="H8" s="18" t="n">
        <f aca="false">C_ROI!G10</f>
        <v>102979.067889564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0"/>
    <col collapsed="false" customWidth="true" hidden="false" outlineLevel="0" max="7" min="3" style="0" width="14"/>
  </cols>
  <sheetData>
    <row r="1" customFormat="false" ht="17.35" hidden="false" customHeight="false" outlineLevel="0" collapsed="false">
      <c r="A1" s="1" t="s">
        <v>867</v>
      </c>
    </row>
    <row r="2" customFormat="false" ht="15" hidden="false" customHeight="false" outlineLevel="0" collapsed="false">
      <c r="A2" s="2" t="s">
        <v>446</v>
      </c>
    </row>
    <row r="4" customFormat="false" ht="15" hidden="false" customHeight="false" outlineLevel="0" collapsed="false">
      <c r="A4" s="15" t="s">
        <v>447</v>
      </c>
      <c r="B4" s="16" t="s">
        <v>63</v>
      </c>
      <c r="C4" s="16" t="s">
        <v>448</v>
      </c>
      <c r="D4" s="16" t="s">
        <v>449</v>
      </c>
      <c r="E4" s="16" t="s">
        <v>450</v>
      </c>
      <c r="F4" s="16" t="s">
        <v>451</v>
      </c>
      <c r="G4" s="16" t="s">
        <v>452</v>
      </c>
    </row>
    <row r="5" customFormat="false" ht="15" hidden="false" customHeight="false" outlineLevel="0" collapsed="false">
      <c r="A5" s="40" t="s">
        <v>453</v>
      </c>
      <c r="B5" s="41"/>
      <c r="C5" s="41"/>
      <c r="D5" s="41"/>
      <c r="E5" s="41"/>
      <c r="F5" s="41"/>
      <c r="G5" s="41"/>
    </row>
    <row r="6" customFormat="false" ht="15" hidden="false" customHeight="false" outlineLevel="0" collapsed="false">
      <c r="A6" s="14" t="s">
        <v>454</v>
      </c>
      <c r="B6" s="43"/>
      <c r="C6" s="42" t="n">
        <v>1</v>
      </c>
      <c r="D6" s="42" t="n">
        <v>2</v>
      </c>
      <c r="E6" s="42" t="n">
        <v>3</v>
      </c>
      <c r="F6" s="42" t="n">
        <v>4</v>
      </c>
      <c r="G6" s="42" t="n">
        <v>5</v>
      </c>
    </row>
    <row r="7" customFormat="false" ht="15" hidden="false" customHeight="false" outlineLevel="0" collapsed="false">
      <c r="A7" s="14" t="s">
        <v>455</v>
      </c>
      <c r="B7" s="43"/>
      <c r="C7" s="73" t="n">
        <f aca="false">((1+Assumptions!$B$19)^Assumptions!$B$20-(1+Assumptions!$B$19)^C6)/((1+Assumptions!$B$19)^Assumptions!$B$20-1)</f>
        <v>0.819025201871732</v>
      </c>
      <c r="D7" s="73" t="n">
        <f aca="false">((1+Assumptions!$B$19)^Assumptions!$B$20-(1+Assumptions!$B$19)^D6)/((1+Assumptions!$B$19)^Assumptions!$B$20-1)</f>
        <v>0.629001663837051</v>
      </c>
      <c r="E7" s="73" t="n">
        <f aca="false">((1+Assumptions!$B$19)^Assumptions!$B$20-(1+Assumptions!$B$19)^E6)/((1+Assumptions!$B$19)^Assumptions!$B$20-1)</f>
        <v>0.429476948900635</v>
      </c>
      <c r="F7" s="73" t="n">
        <f aca="false">((1+Assumptions!$B$19)^Assumptions!$B$20-(1+Assumptions!$B$19)^F6)/((1+Assumptions!$B$19)^Assumptions!$B$20-1)</f>
        <v>0.219975998217398</v>
      </c>
      <c r="G7" s="73" t="n">
        <f aca="false">((1+Assumptions!$B$19)^Assumptions!$B$20-(1+Assumptions!$B$19)^G6)/((1+Assumptions!$B$19)^Assumptions!$B$20-1)</f>
        <v>0</v>
      </c>
    </row>
    <row r="8" customFormat="false" ht="15" hidden="false" customHeight="false" outlineLevel="0" collapsed="false">
      <c r="A8" s="14" t="s">
        <v>456</v>
      </c>
      <c r="B8" s="43"/>
      <c r="C8" s="73" t="n">
        <f aca="false">0.5</f>
        <v>0.5</v>
      </c>
      <c r="D8" s="73" t="n">
        <f aca="false">(1+C7)/2</f>
        <v>0.909512600935866</v>
      </c>
      <c r="E8" s="73" t="n">
        <f aca="false">(C7+D7)/2</f>
        <v>0.724013432854391</v>
      </c>
      <c r="F8" s="73" t="n">
        <f aca="false">(D7+E7)/2</f>
        <v>0.529239306368843</v>
      </c>
      <c r="G8" s="73" t="n">
        <f aca="false">(E7+F7)/2</f>
        <v>0.324726473559017</v>
      </c>
    </row>
    <row r="9" customFormat="false" ht="15" hidden="false" customHeight="false" outlineLevel="0" collapsed="false">
      <c r="A9" s="14" t="s">
        <v>457</v>
      </c>
      <c r="B9" s="43"/>
      <c r="C9" s="73" t="n">
        <f aca="false">0.5</f>
        <v>0.5</v>
      </c>
      <c r="D9" s="73" t="n">
        <f aca="false">1</f>
        <v>1</v>
      </c>
      <c r="E9" s="73" t="n">
        <f aca="false">1</f>
        <v>1</v>
      </c>
      <c r="F9" s="73" t="n">
        <f aca="false">1</f>
        <v>1</v>
      </c>
      <c r="G9" s="73" t="n">
        <f aca="false">1</f>
        <v>1</v>
      </c>
    </row>
    <row r="10" customFormat="false" ht="15" hidden="false" customHeight="false" outlineLevel="0" collapsed="false">
      <c r="A10" s="14" t="s">
        <v>458</v>
      </c>
      <c r="B10" s="43"/>
      <c r="C10" s="73" t="n">
        <f aca="false">MAX(0,((1+Assumptions!$B$26)^Assumptions!$B$27-(1+Assumptions!$B$26)^C6)/((1+Assumptions!$B$26)^Assumptions!$B$27-1))</f>
        <v>0.68742429807219</v>
      </c>
      <c r="D10" s="73" t="n">
        <f aca="false">MAX(0,((1+Assumptions!$B$26)^Assumptions!$B$27-(1+Assumptions!$B$26)^D6)/((1+Assumptions!$B$26)^Assumptions!$B$27-1))</f>
        <v>0.354531175519072</v>
      </c>
      <c r="E10" s="73" t="n">
        <f aca="false">MAX(0,((1+Assumptions!$B$26)^Assumptions!$B$27-(1+Assumptions!$B$26)^E6)/((1+Assumptions!$B$26)^Assumptions!$B$27-1))</f>
        <v>0</v>
      </c>
      <c r="F10" s="73" t="n">
        <f aca="false">MAX(0,((1+Assumptions!$B$26)^Assumptions!$B$27-(1+Assumptions!$B$26)^F6)/((1+Assumptions!$B$26)^Assumptions!$B$27-1))</f>
        <v>0</v>
      </c>
      <c r="G10" s="73" t="n">
        <f aca="false">MAX(0,((1+Assumptions!$B$26)^Assumptions!$B$27-(1+Assumptions!$B$26)^G6)/((1+Assumptions!$B$26)^Assumptions!$B$27-1))</f>
        <v>0</v>
      </c>
    </row>
    <row r="11" customFormat="false" ht="15" hidden="false" customHeight="false" outlineLevel="0" collapsed="false">
      <c r="A11" s="14" t="s">
        <v>459</v>
      </c>
      <c r="B11" s="43"/>
      <c r="C11" s="73" t="n">
        <f aca="false">0.5</f>
        <v>0.5</v>
      </c>
      <c r="D11" s="73" t="n">
        <f aca="false">(1+C10)/2</f>
        <v>0.843712149036095</v>
      </c>
      <c r="E11" s="73" t="n">
        <f aca="false">(C10+D10)/2</f>
        <v>0.520977736795631</v>
      </c>
      <c r="F11" s="73" t="n">
        <f aca="false">(D10+E10)/2</f>
        <v>0.177265587759536</v>
      </c>
      <c r="G11" s="73" t="n">
        <f aca="false">(E10+F10)/2</f>
        <v>0</v>
      </c>
    </row>
    <row r="12" customFormat="false" ht="15" hidden="false" customHeight="false" outlineLevel="0" collapsed="false">
      <c r="A12" s="14" t="s">
        <v>460</v>
      </c>
      <c r="B12" s="43"/>
      <c r="C12" s="73" t="n">
        <f aca="false">0.5</f>
        <v>0.5</v>
      </c>
      <c r="D12" s="73" t="n">
        <f aca="false">1</f>
        <v>1</v>
      </c>
      <c r="E12" s="73" t="n">
        <f aca="false">1</f>
        <v>1</v>
      </c>
      <c r="F12" s="73" t="n">
        <f aca="false">0.5</f>
        <v>0.5</v>
      </c>
      <c r="G12" s="73" t="n">
        <f aca="false">0</f>
        <v>0</v>
      </c>
    </row>
    <row r="13" customFormat="false" ht="15" hidden="false" customHeight="false" outlineLevel="0" collapsed="false">
      <c r="A13" s="14" t="s">
        <v>461</v>
      </c>
      <c r="B13" s="43"/>
      <c r="C13" s="73" t="n">
        <f aca="false">0.5*(1+(1-0.5/Assumptions!$B$137))/2</f>
        <v>0.482142857142857</v>
      </c>
      <c r="D13" s="73" t="n">
        <f aca="false">MAX(0,1-1/Assumptions!$B$137)</f>
        <v>0.857142857142857</v>
      </c>
      <c r="E13" s="73" t="n">
        <f aca="false">MAX(0,1-2/Assumptions!$B$137)</f>
        <v>0.714285714285714</v>
      </c>
      <c r="F13" s="73" t="n">
        <f aca="false">MAX(0,1-3/Assumptions!$B$137)</f>
        <v>0.571428571428571</v>
      </c>
      <c r="G13" s="73" t="n">
        <f aca="false">MAX(0,1-4/Assumptions!$B$137)</f>
        <v>0.428571428571429</v>
      </c>
    </row>
    <row r="14" customFormat="false" ht="15" hidden="false" customHeight="false" outlineLevel="0" collapsed="false">
      <c r="A14" s="14" t="s">
        <v>462</v>
      </c>
      <c r="B14" s="43"/>
      <c r="C14" s="73" t="n">
        <f aca="false">0.5/Assumptions!$B$137</f>
        <v>0.0714285714285714</v>
      </c>
      <c r="D14" s="73" t="n">
        <f aca="false">IF(2-0.5&lt;=Assumptions!$B$137,1/Assumptions!$B$137,0)</f>
        <v>0.142857142857143</v>
      </c>
      <c r="E14" s="73" t="n">
        <f aca="false">IF(3-0.5&lt;=Assumptions!$B$137,1/Assumptions!$B$137,0)</f>
        <v>0.142857142857143</v>
      </c>
      <c r="F14" s="73" t="n">
        <f aca="false">IF(4-0.5&lt;=Assumptions!$B$137,1/Assumptions!$B$137,0)</f>
        <v>0.142857142857143</v>
      </c>
      <c r="G14" s="73" t="n">
        <f aca="false">IF(5-0.5&lt;=Assumptions!$B$137,1/Assumptions!$B$137,0)</f>
        <v>0.142857142857143</v>
      </c>
    </row>
    <row r="15" customFormat="false" ht="15" hidden="false" customHeight="false" outlineLevel="0" collapsed="false">
      <c r="A15" s="40" t="s">
        <v>463</v>
      </c>
      <c r="B15" s="41"/>
      <c r="C15" s="41"/>
      <c r="D15" s="41"/>
      <c r="E15" s="41"/>
      <c r="F15" s="41"/>
      <c r="G15" s="41"/>
    </row>
    <row r="16" customFormat="false" ht="15" hidden="false" customHeight="false" outlineLevel="0" collapsed="false">
      <c r="A16" s="14" t="s">
        <v>464</v>
      </c>
      <c r="B16" s="43" t="s">
        <v>383</v>
      </c>
      <c r="C16" s="69" t="n">
        <f aca="false">Yearly_Inputs!$B$5</f>
        <v>3</v>
      </c>
      <c r="D16" s="69" t="n">
        <f aca="false">Yearly_Inputs!$C$5</f>
        <v>3</v>
      </c>
      <c r="E16" s="69" t="n">
        <f aca="false">Yearly_Inputs!$D$5</f>
        <v>4</v>
      </c>
      <c r="F16" s="69" t="n">
        <f aca="false">Yearly_Inputs!$E$5</f>
        <v>5</v>
      </c>
      <c r="G16" s="69" t="n">
        <f aca="false">Yearly_Inputs!$F$5</f>
        <v>5</v>
      </c>
    </row>
    <row r="17" customFormat="false" ht="15" hidden="false" customHeight="false" outlineLevel="0" collapsed="false">
      <c r="A17" s="14" t="s">
        <v>465</v>
      </c>
      <c r="B17" s="43" t="s">
        <v>70</v>
      </c>
      <c r="C17" s="53" t="n">
        <f aca="false">C16*1000*Assumptions!$B$16*Scenarios!$C$23</f>
        <v>1920000</v>
      </c>
      <c r="D17" s="53" t="n">
        <f aca="false">D16*1000*Assumptions!$B$16*Scenarios!$C$23</f>
        <v>1920000</v>
      </c>
      <c r="E17" s="53" t="n">
        <f aca="false">E16*1000*Assumptions!$B$16*Scenarios!$C$23</f>
        <v>2560000</v>
      </c>
      <c r="F17" s="53" t="n">
        <f aca="false">F16*1000*Assumptions!$B$16*Scenarios!$C$23</f>
        <v>3200000</v>
      </c>
      <c r="G17" s="53" t="n">
        <f aca="false">G16*1000*Assumptions!$B$16*Scenarios!$C$23</f>
        <v>3200000</v>
      </c>
    </row>
    <row r="18" customFormat="false" ht="15" hidden="false" customHeight="false" outlineLevel="0" collapsed="false">
      <c r="A18" s="14" t="s">
        <v>466</v>
      </c>
      <c r="B18" s="43" t="s">
        <v>70</v>
      </c>
      <c r="C18" s="53" t="n">
        <f aca="false">C17*C8</f>
        <v>960000</v>
      </c>
      <c r="D18" s="53" t="n">
        <f aca="false">C17*D8+D17*C8</f>
        <v>2706264.19379686</v>
      </c>
      <c r="E18" s="53" t="n">
        <f aca="false">C17*E8+D17*D8+E17*C8</f>
        <v>4416369.98487729</v>
      </c>
      <c r="F18" s="53" t="n">
        <f aca="false">C17*F8+D17*E8+E17*D8+F17*C8</f>
        <v>6334597.51770443</v>
      </c>
      <c r="G18" s="53" t="n">
        <f aca="false">C17*G8+D17*F8+E17*E8+F17*D8+G17*C8</f>
        <v>8003529.0085635</v>
      </c>
    </row>
    <row r="19" customFormat="false" ht="15" hidden="false" customHeight="false" outlineLevel="0" collapsed="false">
      <c r="A19" s="14" t="s">
        <v>467</v>
      </c>
      <c r="B19" s="43" t="s">
        <v>468</v>
      </c>
      <c r="C19" s="73" t="n">
        <f aca="false">PMT(Assumptions!$B$19,Assumptions!$B$20,-1)</f>
        <v>0.230974798128268</v>
      </c>
      <c r="D19" s="73" t="n">
        <f aca="false">PMT(Assumptions!$B$19,Assumptions!$B$20,-1)</f>
        <v>0.230974798128268</v>
      </c>
      <c r="E19" s="73" t="n">
        <f aca="false">PMT(Assumptions!$B$19,Assumptions!$B$20,-1)</f>
        <v>0.230974798128268</v>
      </c>
      <c r="F19" s="73" t="n">
        <f aca="false">PMT(Assumptions!$B$19,Assumptions!$B$20,-1)</f>
        <v>0.230974798128268</v>
      </c>
      <c r="G19" s="73" t="n">
        <f aca="false">PMT(Assumptions!$B$19,Assumptions!$B$20,-1)</f>
        <v>0.230974798128268</v>
      </c>
    </row>
    <row r="20" customFormat="false" ht="15" hidden="false" customHeight="false" outlineLevel="0" collapsed="false">
      <c r="A20" s="14" t="s">
        <v>469</v>
      </c>
      <c r="B20" s="43" t="s">
        <v>70</v>
      </c>
      <c r="C20" s="53" t="n">
        <f aca="false">(C17*C9)*C19</f>
        <v>221735.806203137</v>
      </c>
      <c r="D20" s="53" t="n">
        <f aca="false">(C17*D9+D17*C9)*D19</f>
        <v>665207.418609412</v>
      </c>
      <c r="E20" s="53" t="n">
        <f aca="false">(C17*E9+D17*D9+E17*C9)*E19</f>
        <v>1182590.96641673</v>
      </c>
      <c r="F20" s="53" t="n">
        <f aca="false">(C17*F9+D17*E9+E17*D9+F17*C9)*F19</f>
        <v>1847798.38502614</v>
      </c>
      <c r="G20" s="53" t="n">
        <f aca="false">(C17*G9+D17*F9+E17*E9+F17*D9+G17*C9)*G19</f>
        <v>2586917.7390366</v>
      </c>
    </row>
    <row r="21" customFormat="false" ht="15" hidden="false" customHeight="false" outlineLevel="0" collapsed="false">
      <c r="A21" s="14" t="s">
        <v>470</v>
      </c>
      <c r="B21" s="43" t="s">
        <v>383</v>
      </c>
      <c r="C21" s="74" t="n">
        <f aca="false">C16*C9</f>
        <v>1.5</v>
      </c>
      <c r="D21" s="74" t="n">
        <f aca="false">C16*D9+D16*C9</f>
        <v>4.5</v>
      </c>
      <c r="E21" s="74" t="n">
        <f aca="false">C16*E9+D16*D9+E16*C9</f>
        <v>8</v>
      </c>
      <c r="F21" s="74" t="n">
        <f aca="false">C16*F9+D16*E9+E16*D9+F16*C9</f>
        <v>12.5</v>
      </c>
      <c r="G21" s="74" t="n">
        <f aca="false">C16*G9+D16*F9+E16*E9+F16*D9+G16*C9</f>
        <v>17.5</v>
      </c>
    </row>
    <row r="22" customFormat="false" ht="15" hidden="false" customHeight="false" outlineLevel="0" collapsed="false">
      <c r="A22" s="14" t="s">
        <v>471</v>
      </c>
      <c r="B22" s="43" t="s">
        <v>472</v>
      </c>
      <c r="C22" s="53" t="n">
        <f aca="false">C21*Assumptions!$B$17</f>
        <v>1875</v>
      </c>
      <c r="D22" s="53" t="n">
        <f aca="false">D21*Assumptions!$B$17</f>
        <v>5625</v>
      </c>
      <c r="E22" s="53" t="n">
        <f aca="false">E21*Assumptions!$B$17</f>
        <v>10000</v>
      </c>
      <c r="F22" s="53" t="n">
        <f aca="false">F21*Assumptions!$B$17</f>
        <v>15625</v>
      </c>
      <c r="G22" s="53" t="n">
        <f aca="false">G21*Assumptions!$B$17</f>
        <v>21875</v>
      </c>
    </row>
    <row r="23" customFormat="false" ht="15" hidden="false" customHeight="false" outlineLevel="0" collapsed="false">
      <c r="A23" s="14" t="s">
        <v>473</v>
      </c>
      <c r="B23" s="43" t="s">
        <v>474</v>
      </c>
      <c r="C23" s="53" t="n">
        <f aca="false">C22*Assumptions!$B$12</f>
        <v>1387.5</v>
      </c>
      <c r="D23" s="53" t="n">
        <f aca="false">D22*Assumptions!$B$12</f>
        <v>4162.5</v>
      </c>
      <c r="E23" s="53" t="n">
        <f aca="false">E22*Assumptions!$B$12</f>
        <v>7400</v>
      </c>
      <c r="F23" s="53" t="n">
        <f aca="false">F22*Assumptions!$B$12</f>
        <v>11562.5</v>
      </c>
      <c r="G23" s="53" t="n">
        <f aca="false">G22*Assumptions!$B$12</f>
        <v>16187.5</v>
      </c>
    </row>
    <row r="24" customFormat="false" ht="15" hidden="false" customHeight="false" outlineLevel="0" collapsed="false">
      <c r="A24" s="40" t="s">
        <v>108</v>
      </c>
      <c r="B24" s="41"/>
      <c r="C24" s="41"/>
      <c r="D24" s="41"/>
      <c r="E24" s="41"/>
      <c r="F24" s="41"/>
      <c r="G24" s="41"/>
    </row>
    <row r="25" customFormat="false" ht="15" hidden="false" customHeight="false" outlineLevel="0" collapsed="false">
      <c r="A25" s="14" t="s">
        <v>475</v>
      </c>
      <c r="B25" s="43" t="s">
        <v>386</v>
      </c>
      <c r="C25" s="18" t="n">
        <f aca="false">Yearly_Inputs!$B$6</f>
        <v>15</v>
      </c>
      <c r="D25" s="18" t="n">
        <f aca="false">Yearly_Inputs!$C$6</f>
        <v>25</v>
      </c>
      <c r="E25" s="18" t="n">
        <f aca="false">Yearly_Inputs!$D$6</f>
        <v>10</v>
      </c>
      <c r="F25" s="18" t="n">
        <f aca="false">Yearly_Inputs!$E$6</f>
        <v>10</v>
      </c>
      <c r="G25" s="18" t="n">
        <f aca="false">Yearly_Inputs!$F$6</f>
        <v>10</v>
      </c>
    </row>
    <row r="26" customFormat="false" ht="15" hidden="false" customHeight="false" outlineLevel="0" collapsed="false">
      <c r="A26" s="14" t="s">
        <v>465</v>
      </c>
      <c r="B26" s="43" t="s">
        <v>70</v>
      </c>
      <c r="C26" s="53" t="n">
        <f aca="false">C25*Assumptions!$B$23</f>
        <v>300000</v>
      </c>
      <c r="D26" s="53" t="n">
        <f aca="false">D25*Assumptions!$B$23</f>
        <v>500000</v>
      </c>
      <c r="E26" s="53" t="n">
        <f aca="false">E25*Assumptions!$B$23</f>
        <v>200000</v>
      </c>
      <c r="F26" s="53" t="n">
        <f aca="false">F25*Assumptions!$B$23</f>
        <v>200000</v>
      </c>
      <c r="G26" s="53" t="n">
        <f aca="false">G25*Assumptions!$B$23</f>
        <v>200000</v>
      </c>
    </row>
    <row r="27" customFormat="false" ht="15" hidden="false" customHeight="false" outlineLevel="0" collapsed="false">
      <c r="A27" s="14" t="s">
        <v>466</v>
      </c>
      <c r="B27" s="43" t="s">
        <v>70</v>
      </c>
      <c r="C27" s="53" t="n">
        <f aca="false">C26*C11</f>
        <v>150000</v>
      </c>
      <c r="D27" s="53" t="n">
        <f aca="false">C26*D11+D26*C11</f>
        <v>503113.644710828</v>
      </c>
      <c r="E27" s="53" t="n">
        <f aca="false">C26*E11+D26*D11+E26*C11</f>
        <v>678149.395556737</v>
      </c>
      <c r="F27" s="53" t="n">
        <f aca="false">C26*F11+D26*E11+E26*D11+F26*C11</f>
        <v>582410.974532895</v>
      </c>
      <c r="G27" s="53" t="n">
        <f aca="false">C26*G11+D26*F11+E26*E11+F26*D11+G26*C11</f>
        <v>461570.771046113</v>
      </c>
    </row>
    <row r="28" customFormat="false" ht="15" hidden="false" customHeight="false" outlineLevel="0" collapsed="false">
      <c r="A28" s="14" t="s">
        <v>476</v>
      </c>
      <c r="B28" s="43" t="s">
        <v>477</v>
      </c>
      <c r="C28" s="74" t="n">
        <f aca="false">C25*C12</f>
        <v>7.5</v>
      </c>
      <c r="D28" s="74" t="n">
        <f aca="false">C25*D12+D25*C12</f>
        <v>27.5</v>
      </c>
      <c r="E28" s="74" t="n">
        <f aca="false">C25*E12+D25*D12+E25*C12</f>
        <v>45</v>
      </c>
      <c r="F28" s="74" t="n">
        <f aca="false">C25*F12+D25*E12+E25*D12+F25*C12</f>
        <v>47.5</v>
      </c>
      <c r="G28" s="74" t="n">
        <f aca="false">C25*G12+D25*F12+E25*E12+F25*D12+G25*C12</f>
        <v>37.5</v>
      </c>
    </row>
    <row r="29" customFormat="false" ht="15" hidden="false" customHeight="false" outlineLevel="0" collapsed="false">
      <c r="A29" s="14" t="s">
        <v>478</v>
      </c>
      <c r="B29" s="43" t="s">
        <v>70</v>
      </c>
      <c r="C29" s="53" t="n">
        <f aca="false">PMT(Assumptions!$B$26/12,Assumptions!$B$27*12,-Assumptions!$B$23)*12</f>
        <v>7355.76069036235</v>
      </c>
      <c r="D29" s="53" t="n">
        <f aca="false">PMT(Assumptions!$B$26/12,Assumptions!$B$27*12,-Assumptions!$B$23)*12</f>
        <v>7355.76069036235</v>
      </c>
      <c r="E29" s="53" t="n">
        <f aca="false">PMT(Assumptions!$B$26/12,Assumptions!$B$27*12,-Assumptions!$B$23)*12</f>
        <v>7355.76069036235</v>
      </c>
      <c r="F29" s="53" t="n">
        <f aca="false">PMT(Assumptions!$B$26/12,Assumptions!$B$27*12,-Assumptions!$B$23)*12</f>
        <v>7355.76069036235</v>
      </c>
      <c r="G29" s="53" t="n">
        <f aca="false">PMT(Assumptions!$B$26/12,Assumptions!$B$27*12,-Assumptions!$B$23)*12</f>
        <v>7355.76069036235</v>
      </c>
    </row>
    <row r="30" customFormat="false" ht="15" hidden="false" customHeight="false" outlineLevel="0" collapsed="false">
      <c r="A30" s="14" t="s">
        <v>469</v>
      </c>
      <c r="B30" s="43" t="s">
        <v>70</v>
      </c>
      <c r="C30" s="53" t="n">
        <f aca="false">C28*C29</f>
        <v>55168.2051777176</v>
      </c>
      <c r="D30" s="53" t="n">
        <f aca="false">D28*D29</f>
        <v>202283.418984965</v>
      </c>
      <c r="E30" s="53" t="n">
        <f aca="false">E28*E29</f>
        <v>331009.231066306</v>
      </c>
      <c r="F30" s="53" t="n">
        <f aca="false">F28*F29</f>
        <v>349398.632792212</v>
      </c>
      <c r="G30" s="53" t="n">
        <f aca="false">G28*G29</f>
        <v>275841.025888588</v>
      </c>
    </row>
    <row r="31" customFormat="false" ht="15" hidden="false" customHeight="false" outlineLevel="0" collapsed="false">
      <c r="A31" s="14" t="s">
        <v>479</v>
      </c>
      <c r="B31" s="43" t="s">
        <v>70</v>
      </c>
      <c r="C31" s="53" t="n">
        <f aca="false">C56*12-C29</f>
        <v>324.239309637653</v>
      </c>
      <c r="D31" s="53" t="n">
        <f aca="false">D56*12-D29</f>
        <v>324.239309637653</v>
      </c>
      <c r="E31" s="53" t="n">
        <f aca="false">E56*12-E29</f>
        <v>324.239309637653</v>
      </c>
      <c r="F31" s="53" t="n">
        <f aca="false">F56*12-F29</f>
        <v>324.239309637653</v>
      </c>
      <c r="G31" s="53" t="n">
        <f aca="false">G56*12-G29</f>
        <v>324.239309637653</v>
      </c>
    </row>
    <row r="32" customFormat="false" ht="15" hidden="false" customHeight="false" outlineLevel="0" collapsed="false">
      <c r="A32" s="14" t="s">
        <v>480</v>
      </c>
      <c r="B32" s="43" t="s">
        <v>70</v>
      </c>
      <c r="C32" s="53" t="n">
        <f aca="false">C28*Scenarios!$C$7*12*(1-Assumptions!$B$25)</f>
        <v>9000</v>
      </c>
      <c r="D32" s="53" t="n">
        <f aca="false">D28*Scenarios!$C$7*12*(1-Assumptions!$B$25)</f>
        <v>33000</v>
      </c>
      <c r="E32" s="53" t="n">
        <f aca="false">E28*Scenarios!$C$7*12*(1-Assumptions!$B$25)</f>
        <v>54000</v>
      </c>
      <c r="F32" s="53" t="n">
        <f aca="false">F28*Scenarios!$C$7*12*(1-Assumptions!$B$25)</f>
        <v>57000</v>
      </c>
      <c r="G32" s="53" t="n">
        <f aca="false">G28*Scenarios!$C$7*12*(1-Assumptions!$B$25)</f>
        <v>45000</v>
      </c>
    </row>
    <row r="33" customFormat="false" ht="15" hidden="false" customHeight="false" outlineLevel="0" collapsed="false">
      <c r="A33" s="14" t="s">
        <v>481</v>
      </c>
      <c r="B33" s="43" t="s">
        <v>472</v>
      </c>
      <c r="C33" s="53" t="n">
        <f aca="false">C28*Scenarios!$C$7*12/Assumptions!$B$11/1000</f>
        <v>99.1189427312775</v>
      </c>
      <c r="D33" s="53" t="n">
        <f aca="false">D28*Scenarios!$C$7*12/Assumptions!$B$11/1000</f>
        <v>363.436123348018</v>
      </c>
      <c r="E33" s="53" t="n">
        <f aca="false">E28*Scenarios!$C$7*12/Assumptions!$B$11/1000</f>
        <v>594.713656387665</v>
      </c>
      <c r="F33" s="53" t="n">
        <f aca="false">F28*Scenarios!$C$7*12/Assumptions!$B$11/1000</f>
        <v>627.753303964758</v>
      </c>
      <c r="G33" s="53" t="n">
        <f aca="false">G28*Scenarios!$C$7*12/Assumptions!$B$11/1000</f>
        <v>495.594713656388</v>
      </c>
    </row>
    <row r="34" customFormat="false" ht="15" hidden="false" customHeight="false" outlineLevel="0" collapsed="false">
      <c r="A34" s="14" t="s">
        <v>482</v>
      </c>
      <c r="B34" s="43" t="s">
        <v>474</v>
      </c>
      <c r="C34" s="53" t="n">
        <f aca="false">C33*Assumptions!$B$12</f>
        <v>73.3480176211454</v>
      </c>
      <c r="D34" s="53" t="n">
        <f aca="false">D33*Assumptions!$B$12</f>
        <v>268.942731277533</v>
      </c>
      <c r="E34" s="53" t="n">
        <f aca="false">E33*Assumptions!$B$12</f>
        <v>440.088105726872</v>
      </c>
      <c r="F34" s="53" t="n">
        <f aca="false">F33*Assumptions!$B$12</f>
        <v>464.537444933921</v>
      </c>
      <c r="G34" s="53" t="n">
        <f aca="false">G33*Assumptions!$B$12</f>
        <v>366.740088105727</v>
      </c>
    </row>
    <row r="35" customFormat="false" ht="15" hidden="false" customHeight="false" outlineLevel="0" collapsed="false">
      <c r="A35" s="40" t="s">
        <v>483</v>
      </c>
      <c r="B35" s="41"/>
      <c r="C35" s="41"/>
      <c r="D35" s="41"/>
      <c r="E35" s="41"/>
      <c r="F35" s="41"/>
      <c r="G35" s="41"/>
    </row>
    <row r="36" customFormat="false" ht="15" hidden="false" customHeight="false" outlineLevel="0" collapsed="false">
      <c r="A36" s="14" t="s">
        <v>484</v>
      </c>
      <c r="B36" s="43" t="s">
        <v>334</v>
      </c>
      <c r="C36" s="18" t="n">
        <f aca="false">Yearly_Inputs!$B$7</f>
        <v>1</v>
      </c>
      <c r="D36" s="18" t="n">
        <f aca="false">Yearly_Inputs!$C$7</f>
        <v>2</v>
      </c>
      <c r="E36" s="18" t="n">
        <f aca="false">Yearly_Inputs!$D$7</f>
        <v>2</v>
      </c>
      <c r="F36" s="18" t="n">
        <f aca="false">Yearly_Inputs!$E$7</f>
        <v>2</v>
      </c>
      <c r="G36" s="18" t="n">
        <f aca="false">Yearly_Inputs!$F$7</f>
        <v>2</v>
      </c>
    </row>
    <row r="37" customFormat="false" ht="15" hidden="false" customHeight="false" outlineLevel="0" collapsed="false">
      <c r="A37" s="14" t="s">
        <v>485</v>
      </c>
      <c r="B37" s="43" t="s">
        <v>70</v>
      </c>
      <c r="C37" s="53" t="n">
        <f aca="false">C36*EV_Pilot!$C$46*Assumptions!$B$31</f>
        <v>35000</v>
      </c>
      <c r="D37" s="53" t="n">
        <f aca="false">D36*EV_Pilot!$C$46*Assumptions!$B$31</f>
        <v>70000</v>
      </c>
      <c r="E37" s="53" t="n">
        <f aca="false">E36*EV_Pilot!$C$46*Assumptions!$B$31</f>
        <v>70000</v>
      </c>
      <c r="F37" s="53" t="n">
        <f aca="false">F36*EV_Pilot!$C$46*Assumptions!$B$31</f>
        <v>70000</v>
      </c>
      <c r="G37" s="53" t="n">
        <f aca="false">G36*EV_Pilot!$C$46*Assumptions!$B$31</f>
        <v>70000</v>
      </c>
    </row>
    <row r="38" customFormat="false" ht="15" hidden="false" customHeight="false" outlineLevel="0" collapsed="false">
      <c r="A38" s="14" t="s">
        <v>466</v>
      </c>
      <c r="B38" s="43" t="s">
        <v>70</v>
      </c>
      <c r="C38" s="53" t="n">
        <f aca="false">C37*C13</f>
        <v>16875</v>
      </c>
      <c r="D38" s="53" t="n">
        <f aca="false">C37*D13+D37*C13</f>
        <v>63750</v>
      </c>
      <c r="E38" s="53" t="n">
        <f aca="false">C37*E13+D37*D13+E37*C13</f>
        <v>118750</v>
      </c>
      <c r="F38" s="53" t="n">
        <f aca="false">C37*F13+D37*E13+E37*D13+F37*C13</f>
        <v>163750</v>
      </c>
      <c r="G38" s="53" t="n">
        <f aca="false">C37*G13+D37*F13+E37*E13+F37*D13+G37*C13</f>
        <v>198750</v>
      </c>
    </row>
    <row r="39" customFormat="false" ht="15" hidden="false" customHeight="false" outlineLevel="0" collapsed="false">
      <c r="A39" s="14" t="s">
        <v>486</v>
      </c>
      <c r="B39" s="43" t="s">
        <v>487</v>
      </c>
      <c r="C39" s="74" t="n">
        <f aca="false">C36*C9</f>
        <v>0.5</v>
      </c>
      <c r="D39" s="74" t="n">
        <f aca="false">C36*D9+D36*C9</f>
        <v>2</v>
      </c>
      <c r="E39" s="74" t="n">
        <f aca="false">C36*E9+D36*D9+E36*C9</f>
        <v>4</v>
      </c>
      <c r="F39" s="74" t="n">
        <f aca="false">C36*F9+D36*E9+E36*D9+F36*C9</f>
        <v>6</v>
      </c>
      <c r="G39" s="74" t="n">
        <f aca="false">C36*G9+D36*F9+E36*E9+F36*D9+G36*C9</f>
        <v>8</v>
      </c>
    </row>
    <row r="40" customFormat="false" ht="15" hidden="false" customHeight="false" outlineLevel="0" collapsed="false">
      <c r="A40" s="14" t="s">
        <v>488</v>
      </c>
      <c r="B40" s="43" t="s">
        <v>70</v>
      </c>
      <c r="C40" s="18" t="n">
        <f aca="false">EV_Pilot!$C$50</f>
        <v>-7403.2012</v>
      </c>
      <c r="D40" s="18" t="n">
        <f aca="false">EV_Pilot!$C$50</f>
        <v>-7403.2012</v>
      </c>
      <c r="E40" s="18" t="n">
        <f aca="false">EV_Pilot!$C$50</f>
        <v>-7403.2012</v>
      </c>
      <c r="F40" s="18" t="n">
        <f aca="false">EV_Pilot!$C$50</f>
        <v>-7403.2012</v>
      </c>
      <c r="G40" s="18" t="n">
        <f aca="false">EV_Pilot!$C$50</f>
        <v>-7403.2012</v>
      </c>
    </row>
    <row r="41" customFormat="false" ht="15" hidden="false" customHeight="false" outlineLevel="0" collapsed="false">
      <c r="A41" s="14" t="s">
        <v>489</v>
      </c>
      <c r="B41" s="43" t="s">
        <v>70</v>
      </c>
      <c r="C41" s="53" t="n">
        <f aca="false">C39*EV_Pilot!$C$54</f>
        <v>0</v>
      </c>
      <c r="D41" s="53" t="n">
        <f aca="false">D39*EV_Pilot!$C$54</f>
        <v>0</v>
      </c>
      <c r="E41" s="53" t="n">
        <f aca="false">E39*EV_Pilot!$C$54</f>
        <v>0</v>
      </c>
      <c r="F41" s="53" t="n">
        <f aca="false">F39*EV_Pilot!$C$54</f>
        <v>0</v>
      </c>
      <c r="G41" s="53" t="n">
        <f aca="false">G39*EV_Pilot!$C$54</f>
        <v>0</v>
      </c>
    </row>
    <row r="42" customFormat="false" ht="15" hidden="false" customHeight="false" outlineLevel="0" collapsed="false">
      <c r="A42" s="14" t="s">
        <v>490</v>
      </c>
      <c r="B42" s="43" t="s">
        <v>70</v>
      </c>
      <c r="C42" s="53" t="n">
        <f aca="false">C68*EV_Pilot!$C$56+C69*EV_Pilot!$C$57+C39*EV_Pilot!$C$65</f>
        <v>1500</v>
      </c>
      <c r="D42" s="53" t="n">
        <f aca="false">D68*EV_Pilot!$C$56+D69*EV_Pilot!$C$57+D39*EV_Pilot!$C$65</f>
        <v>6000</v>
      </c>
      <c r="E42" s="53" t="n">
        <f aca="false">E68*EV_Pilot!$C$56+E69*EV_Pilot!$C$57+E39*EV_Pilot!$C$65</f>
        <v>12000</v>
      </c>
      <c r="F42" s="53" t="n">
        <f aca="false">F68*EV_Pilot!$C$56+F69*EV_Pilot!$C$57+F39*EV_Pilot!$C$65</f>
        <v>18000</v>
      </c>
      <c r="G42" s="53" t="n">
        <f aca="false">G68*EV_Pilot!$C$56+G69*EV_Pilot!$C$57+G39*EV_Pilot!$C$65</f>
        <v>24000</v>
      </c>
    </row>
    <row r="43" customFormat="false" ht="15" hidden="false" customHeight="false" outlineLevel="0" collapsed="false">
      <c r="A43" s="14" t="s">
        <v>491</v>
      </c>
      <c r="B43" s="43" t="s">
        <v>70</v>
      </c>
      <c r="C43" s="53" t="n">
        <f aca="false">C37*C14</f>
        <v>2500</v>
      </c>
      <c r="D43" s="53" t="n">
        <f aca="false">C37*D14+D37*C14</f>
        <v>10000</v>
      </c>
      <c r="E43" s="53" t="n">
        <f aca="false">C37*E14+D37*D14+E37*C14</f>
        <v>20000</v>
      </c>
      <c r="F43" s="53" t="n">
        <f aca="false">C37*F14+D37*E14+E37*D14+F37*C14</f>
        <v>30000</v>
      </c>
      <c r="G43" s="53" t="n">
        <f aca="false">C37*G14+D37*F14+E37*E14+F37*D14+G37*C14</f>
        <v>40000</v>
      </c>
    </row>
    <row r="44" customFormat="false" ht="15" hidden="false" customHeight="false" outlineLevel="0" collapsed="false">
      <c r="A44" s="40" t="s">
        <v>492</v>
      </c>
      <c r="B44" s="41"/>
      <c r="C44" s="41"/>
      <c r="D44" s="41"/>
      <c r="E44" s="41"/>
      <c r="F44" s="41"/>
      <c r="G44" s="41"/>
    </row>
    <row r="45" customFormat="false" ht="15" hidden="false" customHeight="false" outlineLevel="0" collapsed="false">
      <c r="A45" s="22" t="s">
        <v>465</v>
      </c>
      <c r="B45" s="43" t="s">
        <v>70</v>
      </c>
      <c r="C45" s="75" t="n">
        <f aca="false">C17+C26+C37</f>
        <v>2255000</v>
      </c>
      <c r="D45" s="75" t="n">
        <f aca="false">D17+D26+D37</f>
        <v>2490000</v>
      </c>
      <c r="E45" s="75" t="n">
        <f aca="false">E17+E26+E37</f>
        <v>2830000</v>
      </c>
      <c r="F45" s="75" t="n">
        <f aca="false">F17+F26+F37</f>
        <v>3470000</v>
      </c>
      <c r="G45" s="75" t="n">
        <f aca="false">G17+G26+G37</f>
        <v>3470000</v>
      </c>
    </row>
    <row r="46" customFormat="false" ht="15" hidden="false" customHeight="false" outlineLevel="0" collapsed="false">
      <c r="A46" s="22" t="s">
        <v>466</v>
      </c>
      <c r="B46" s="43" t="s">
        <v>70</v>
      </c>
      <c r="C46" s="75" t="n">
        <f aca="false">C18+C27+C38</f>
        <v>1126875</v>
      </c>
      <c r="D46" s="75" t="n">
        <f aca="false">D18+D27+D38</f>
        <v>3273127.83850769</v>
      </c>
      <c r="E46" s="75" t="n">
        <f aca="false">E18+E27+E38</f>
        <v>5213269.38043403</v>
      </c>
      <c r="F46" s="75" t="n">
        <f aca="false">F18+F27+F38</f>
        <v>7080758.49223732</v>
      </c>
      <c r="G46" s="75" t="n">
        <f aca="false">G18+G27+G38</f>
        <v>8663849.77960962</v>
      </c>
    </row>
    <row r="47" customFormat="false" ht="15" hidden="false" customHeight="false" outlineLevel="0" collapsed="false">
      <c r="A47" s="22" t="s">
        <v>469</v>
      </c>
      <c r="B47" s="43" t="s">
        <v>70</v>
      </c>
      <c r="C47" s="75" t="n">
        <f aca="false">C20+C30+C42</f>
        <v>278404.011380855</v>
      </c>
      <c r="D47" s="75" t="n">
        <f aca="false">D20+D30+D42</f>
        <v>873490.837594377</v>
      </c>
      <c r="E47" s="75" t="n">
        <f aca="false">E20+E30+E42</f>
        <v>1525600.19748304</v>
      </c>
      <c r="F47" s="75" t="n">
        <f aca="false">F20+F30+F42</f>
        <v>2215197.01781836</v>
      </c>
      <c r="G47" s="75" t="n">
        <f aca="false">G20+G30+G42</f>
        <v>2886758.76492519</v>
      </c>
    </row>
    <row r="48" customFormat="false" ht="15" hidden="false" customHeight="false" outlineLevel="0" collapsed="false">
      <c r="A48" s="14" t="s">
        <v>493</v>
      </c>
      <c r="B48" s="43" t="s">
        <v>70</v>
      </c>
      <c r="C48" s="53" t="n">
        <f aca="false">C47*Assumptions!$B$8*(1+Assumptions!$B$9)</f>
        <v>91873.3237556822</v>
      </c>
      <c r="D48" s="53" t="n">
        <f aca="false">D47*Assumptions!$B$8*(1+Assumptions!$B$9)</f>
        <v>288251.976406144</v>
      </c>
      <c r="E48" s="53" t="n">
        <f aca="false">E47*Assumptions!$B$8*(1+Assumptions!$B$9)</f>
        <v>503448.065169403</v>
      </c>
      <c r="F48" s="53" t="n">
        <f aca="false">F47*Assumptions!$B$8*(1+Assumptions!$B$9)</f>
        <v>731015.015880058</v>
      </c>
      <c r="G48" s="53" t="n">
        <f aca="false">G47*Assumptions!$B$8*(1+Assumptions!$B$9)</f>
        <v>952630.392425313</v>
      </c>
    </row>
    <row r="49" customFormat="false" ht="15" hidden="false" customHeight="false" outlineLevel="0" collapsed="false">
      <c r="A49" s="14" t="s">
        <v>494</v>
      </c>
      <c r="B49" s="43" t="s">
        <v>495</v>
      </c>
      <c r="C49" s="53" t="n">
        <f aca="false">C45/Assumptions!$B$7</f>
        <v>4510</v>
      </c>
      <c r="D49" s="53" t="n">
        <f aca="false">D45/Assumptions!$B$7</f>
        <v>4980</v>
      </c>
      <c r="E49" s="53" t="n">
        <f aca="false">E45/Assumptions!$B$7</f>
        <v>5660</v>
      </c>
      <c r="F49" s="53" t="n">
        <f aca="false">F45/Assumptions!$B$7</f>
        <v>6940</v>
      </c>
      <c r="G49" s="53" t="n">
        <f aca="false">G45/Assumptions!$B$7</f>
        <v>6940</v>
      </c>
    </row>
    <row r="50" customFormat="false" ht="15" hidden="false" customHeight="false" outlineLevel="0" collapsed="false">
      <c r="A50" s="22" t="s">
        <v>496</v>
      </c>
      <c r="B50" s="43" t="s">
        <v>70</v>
      </c>
      <c r="C50" s="76" t="n">
        <f aca="false">C18*Assumptions!$B$19+C27*Assumptions!$B$26-C59+C42-C43</f>
        <v>50465.8974111412</v>
      </c>
      <c r="D50" s="76" t="n">
        <f aca="false">D18*Assumptions!$B$19+D27*Assumptions!$B$26-D59+D42-D43</f>
        <v>140973.887103565</v>
      </c>
      <c r="E50" s="76" t="n">
        <f aca="false">E18*Assumptions!$B$19+E27*Assumptions!$B$26-E59+E42-E43</f>
        <v>219193.5944219</v>
      </c>
      <c r="F50" s="76" t="n">
        <f aca="false">F18*Assumptions!$B$19+F27*Assumptions!$B$26-F59+F42-F43</f>
        <v>302787.272833754</v>
      </c>
      <c r="G50" s="76" t="n">
        <f aca="false">G18*Assumptions!$B$19+G27*Assumptions!$B$26-G59+G42-G43</f>
        <v>382758.037601878</v>
      </c>
    </row>
    <row r="51" customFormat="false" ht="15" hidden="false" customHeight="false" outlineLevel="0" collapsed="false">
      <c r="A51" s="22" t="s">
        <v>497</v>
      </c>
      <c r="B51" s="43" t="s">
        <v>474</v>
      </c>
      <c r="C51" s="76" t="n">
        <f aca="false">C23+C34</f>
        <v>1460.84801762115</v>
      </c>
      <c r="D51" s="76" t="n">
        <f aca="false">D23+D34</f>
        <v>4431.44273127753</v>
      </c>
      <c r="E51" s="76" t="n">
        <f aca="false">E23+E34</f>
        <v>7840.08810572687</v>
      </c>
      <c r="F51" s="76" t="n">
        <f aca="false">F23+F34</f>
        <v>12027.0374449339</v>
      </c>
      <c r="G51" s="76" t="n">
        <f aca="false">G23+G34</f>
        <v>16554.2400881057</v>
      </c>
    </row>
    <row r="53" customFormat="false" ht="15" hidden="false" customHeight="false" outlineLevel="0" collapsed="false">
      <c r="A53" s="10" t="s">
        <v>498</v>
      </c>
    </row>
    <row r="55" customFormat="false" ht="15" hidden="false" customHeight="false" outlineLevel="0" collapsed="false">
      <c r="A55" s="57" t="s">
        <v>499</v>
      </c>
      <c r="B55" s="58"/>
      <c r="C55" s="58"/>
      <c r="D55" s="58"/>
      <c r="E55" s="58"/>
      <c r="F55" s="58"/>
      <c r="G55" s="58"/>
    </row>
    <row r="56" customFormat="false" ht="15" hidden="false" customHeight="false" outlineLevel="0" collapsed="false">
      <c r="A56" s="77" t="s">
        <v>500</v>
      </c>
      <c r="B56" s="43" t="s">
        <v>70</v>
      </c>
      <c r="C56" s="53" t="n">
        <f aca="false">MAX(Scenarios!$C$7,Assumptions!$B$72)*Assumptions!$B$25</f>
        <v>640</v>
      </c>
      <c r="D56" s="53" t="n">
        <f aca="false">MAX(Scenarios!$C$7,Assumptions!$B$72)*Assumptions!$B$25</f>
        <v>640</v>
      </c>
      <c r="E56" s="53" t="n">
        <f aca="false">MAX(Scenarios!$C$7,Assumptions!$B$72)*Assumptions!$B$25</f>
        <v>640</v>
      </c>
      <c r="F56" s="53" t="n">
        <f aca="false">MAX(Scenarios!$C$7,Assumptions!$B$72)*Assumptions!$B$25</f>
        <v>640</v>
      </c>
      <c r="G56" s="53" t="n">
        <f aca="false">MAX(Scenarios!$C$7,Assumptions!$B$72)*Assumptions!$B$25</f>
        <v>640</v>
      </c>
    </row>
    <row r="57" customFormat="false" ht="15" hidden="false" customHeight="false" outlineLevel="0" collapsed="false">
      <c r="A57" s="77" t="s">
        <v>501</v>
      </c>
      <c r="B57" s="43" t="s">
        <v>70</v>
      </c>
      <c r="C57" s="53" t="n">
        <f aca="false">Assumptions!$B$23*Scenarios!$C$13*Assumptions!$B$74</f>
        <v>1000</v>
      </c>
      <c r="D57" s="53" t="n">
        <f aca="false">Assumptions!$B$23*Scenarios!$C$13*Assumptions!$B$74</f>
        <v>1000</v>
      </c>
      <c r="E57" s="53" t="n">
        <f aca="false">Assumptions!$B$23*Scenarios!$C$13*Assumptions!$B$74</f>
        <v>1000</v>
      </c>
      <c r="F57" s="53" t="n">
        <f aca="false">Assumptions!$B$23*Scenarios!$C$13*Assumptions!$B$74</f>
        <v>1000</v>
      </c>
      <c r="G57" s="53" t="n">
        <f aca="false">Assumptions!$B$23*Scenarios!$C$13*Assumptions!$B$74</f>
        <v>1000</v>
      </c>
    </row>
    <row r="58" customFormat="false" ht="15" hidden="false" customHeight="false" outlineLevel="0" collapsed="false">
      <c r="A58" s="77" t="s">
        <v>502</v>
      </c>
      <c r="B58" s="43" t="s">
        <v>70</v>
      </c>
      <c r="C58" s="53" t="n">
        <f aca="false">MAX(0,C31)*(1-Assumptions!$B$28)</f>
        <v>162.119654818826</v>
      </c>
      <c r="D58" s="53" t="n">
        <f aca="false">MAX(0,D31)*(1-Assumptions!$B$28)</f>
        <v>162.119654818826</v>
      </c>
      <c r="E58" s="53" t="n">
        <f aca="false">MAX(0,E31)*(1-Assumptions!$B$28)</f>
        <v>162.119654818826</v>
      </c>
      <c r="F58" s="53" t="n">
        <f aca="false">MAX(0,F31)*(1-Assumptions!$B$28)</f>
        <v>162.119654818826</v>
      </c>
      <c r="G58" s="53" t="n">
        <f aca="false">MAX(0,G31)*(1-Assumptions!$B$28)</f>
        <v>162.119654818826</v>
      </c>
    </row>
    <row r="59" customFormat="false" ht="15" hidden="false" customHeight="false" outlineLevel="0" collapsed="false">
      <c r="A59" s="77" t="s">
        <v>503</v>
      </c>
      <c r="B59" s="43" t="s">
        <v>70</v>
      </c>
      <c r="C59" s="53" t="n">
        <f aca="false">C28*(MAX(0,C57-C58)+MAX(0,-C31))</f>
        <v>6284.1025888588</v>
      </c>
      <c r="D59" s="53" t="n">
        <f aca="false">D28*(MAX(0,D57-D58)+MAX(0,-D31))</f>
        <v>23041.7094924823</v>
      </c>
      <c r="E59" s="53" t="n">
        <f aca="false">E28*(MAX(0,E57-E58)+MAX(0,-E31))</f>
        <v>37704.6155331528</v>
      </c>
      <c r="F59" s="53" t="n">
        <f aca="false">F28*(MAX(0,F57-F58)+MAX(0,-F31))</f>
        <v>39799.3163961058</v>
      </c>
      <c r="G59" s="53" t="n">
        <f aca="false">G28*(MAX(0,G57-G58)+MAX(0,-G31))</f>
        <v>31420.512944294</v>
      </c>
    </row>
    <row r="60" customFormat="false" ht="15" hidden="false" customHeight="false" outlineLevel="0" collapsed="false">
      <c r="A60" s="77" t="s">
        <v>504</v>
      </c>
      <c r="B60" s="43" t="s">
        <v>505</v>
      </c>
      <c r="C60" s="69" t="n">
        <f aca="false">EV_Pilot!$C$9</f>
        <v>27</v>
      </c>
      <c r="D60" s="69" t="n">
        <f aca="false">EV_Pilot!$C$9</f>
        <v>27</v>
      </c>
      <c r="E60" s="69" t="n">
        <f aca="false">EV_Pilot!$C$9</f>
        <v>27</v>
      </c>
      <c r="F60" s="69" t="n">
        <f aca="false">EV_Pilot!$C$9</f>
        <v>27</v>
      </c>
      <c r="G60" s="69" t="n">
        <f aca="false">EV_Pilot!$C$9</f>
        <v>27</v>
      </c>
    </row>
    <row r="61" customFormat="false" ht="15" hidden="false" customHeight="false" outlineLevel="0" collapsed="false">
      <c r="A61" s="77" t="s">
        <v>506</v>
      </c>
      <c r="B61" s="43" t="s">
        <v>70</v>
      </c>
      <c r="C61" s="18" t="n">
        <f aca="false">EV_Pilot!$C$65</f>
        <v>3000</v>
      </c>
      <c r="D61" s="18" t="n">
        <f aca="false">EV_Pilot!$C$65</f>
        <v>3000</v>
      </c>
      <c r="E61" s="18" t="n">
        <f aca="false">EV_Pilot!$C$65</f>
        <v>3000</v>
      </c>
      <c r="F61" s="18" t="n">
        <f aca="false">EV_Pilot!$C$65</f>
        <v>3000</v>
      </c>
      <c r="G61" s="18" t="n">
        <f aca="false">EV_Pilot!$C$65</f>
        <v>3000</v>
      </c>
    </row>
    <row r="62" customFormat="false" ht="15" hidden="false" customHeight="false" outlineLevel="0" collapsed="false">
      <c r="A62" s="77" t="s">
        <v>507</v>
      </c>
      <c r="B62" s="43" t="s">
        <v>70</v>
      </c>
      <c r="C62" s="53" t="n">
        <f aca="false">C39*C61</f>
        <v>1500</v>
      </c>
      <c r="D62" s="53" t="n">
        <f aca="false">D39*D61</f>
        <v>6000</v>
      </c>
      <c r="E62" s="53" t="n">
        <f aca="false">E39*E61</f>
        <v>12000</v>
      </c>
      <c r="F62" s="53" t="n">
        <f aca="false">F39*F61</f>
        <v>18000</v>
      </c>
      <c r="G62" s="53" t="n">
        <f aca="false">G39*G61</f>
        <v>24000</v>
      </c>
    </row>
    <row r="63" customFormat="false" ht="15" hidden="false" customHeight="false" outlineLevel="0" collapsed="false">
      <c r="A63" s="77" t="s">
        <v>508</v>
      </c>
      <c r="B63" s="43" t="s">
        <v>472</v>
      </c>
      <c r="C63" s="53" t="n">
        <f aca="false">C22*Scenarios!$C$23</f>
        <v>375</v>
      </c>
      <c r="D63" s="53" t="n">
        <f aca="false">D22*Scenarios!$C$23</f>
        <v>1125</v>
      </c>
      <c r="E63" s="53" t="n">
        <f aca="false">E22*Scenarios!$C$23</f>
        <v>2000</v>
      </c>
      <c r="F63" s="53" t="n">
        <f aca="false">F22*Scenarios!$C$23</f>
        <v>3125</v>
      </c>
      <c r="G63" s="53" t="n">
        <f aca="false">G22*Scenarios!$C$23</f>
        <v>4375</v>
      </c>
    </row>
    <row r="65" customFormat="false" ht="15" hidden="false" customHeight="false" outlineLevel="0" collapsed="false">
      <c r="A65" s="57" t="s">
        <v>509</v>
      </c>
      <c r="B65" s="58"/>
      <c r="C65" s="58"/>
      <c r="D65" s="58"/>
      <c r="E65" s="58"/>
      <c r="F65" s="58"/>
      <c r="G65" s="58"/>
    </row>
    <row r="66" customFormat="false" ht="15" hidden="false" customHeight="false" outlineLevel="0" collapsed="false">
      <c r="A66" s="77" t="s">
        <v>510</v>
      </c>
      <c r="B66" s="43"/>
      <c r="C66" s="73" t="n">
        <f aca="false">C9*IF(C6-0.5&lt;EV_Pilot!$C$73,1,0)</f>
        <v>0.5</v>
      </c>
      <c r="D66" s="73" t="n">
        <f aca="false">D9*IF(D6-0.5&lt;EV_Pilot!$C$73,1,0)</f>
        <v>1</v>
      </c>
      <c r="E66" s="73" t="n">
        <f aca="false">E9*IF(E6-0.5&lt;EV_Pilot!$C$73,1,0)</f>
        <v>1</v>
      </c>
      <c r="F66" s="73" t="n">
        <f aca="false">F9*IF(F6-0.5&lt;EV_Pilot!$C$73,1,0)</f>
        <v>1</v>
      </c>
      <c r="G66" s="73" t="n">
        <f aca="false">G9*IF(G6-0.5&lt;EV_Pilot!$C$73,1,0)</f>
        <v>1</v>
      </c>
    </row>
    <row r="67" customFormat="false" ht="15" hidden="false" customHeight="false" outlineLevel="0" collapsed="false">
      <c r="A67" s="77" t="s">
        <v>511</v>
      </c>
      <c r="B67" s="43"/>
      <c r="C67" s="73" t="n">
        <f aca="false">C9-C66</f>
        <v>0</v>
      </c>
      <c r="D67" s="73" t="n">
        <f aca="false">D9-D66</f>
        <v>0</v>
      </c>
      <c r="E67" s="73" t="n">
        <f aca="false">E9-E66</f>
        <v>0</v>
      </c>
      <c r="F67" s="73" t="n">
        <f aca="false">F9-F66</f>
        <v>0</v>
      </c>
      <c r="G67" s="73" t="n">
        <f aca="false">G9-G66</f>
        <v>0</v>
      </c>
    </row>
    <row r="68" customFormat="false" ht="15" hidden="false" customHeight="false" outlineLevel="0" collapsed="false">
      <c r="A68" s="77" t="s">
        <v>512</v>
      </c>
      <c r="B68" s="43" t="s">
        <v>487</v>
      </c>
      <c r="C68" s="74" t="n">
        <f aca="false">C36*C66</f>
        <v>0.5</v>
      </c>
      <c r="D68" s="74" t="n">
        <f aca="false">C36*D66+D36*C66</f>
        <v>2</v>
      </c>
      <c r="E68" s="74" t="n">
        <f aca="false">C36*E66+D36*D66+E36*C66</f>
        <v>4</v>
      </c>
      <c r="F68" s="74" t="n">
        <f aca="false">C36*F66+D36*E66+E36*D66+F36*C66</f>
        <v>6</v>
      </c>
      <c r="G68" s="74" t="n">
        <f aca="false">C36*G66+D36*F66+E36*E66+F36*D66+G36*C66</f>
        <v>8</v>
      </c>
    </row>
    <row r="69" customFormat="false" ht="15" hidden="false" customHeight="false" outlineLevel="0" collapsed="false">
      <c r="A69" s="77" t="s">
        <v>513</v>
      </c>
      <c r="B69" s="43" t="s">
        <v>487</v>
      </c>
      <c r="C69" s="74" t="n">
        <f aca="false">C36*C67</f>
        <v>0</v>
      </c>
      <c r="D69" s="74" t="n">
        <f aca="false">C36*D67+D36*C67</f>
        <v>0</v>
      </c>
      <c r="E69" s="74" t="n">
        <f aca="false">C36*E67+D36*D67+E36*C67</f>
        <v>0</v>
      </c>
      <c r="F69" s="74" t="n">
        <f aca="false">C36*F67+D36*E67+E36*D67+F36*C67</f>
        <v>0</v>
      </c>
      <c r="G69" s="74" t="n">
        <f aca="false">C36*G67+D36*F67+E36*E67+F36*D67+G36*C67</f>
        <v>0</v>
      </c>
    </row>
    <row r="70" customFormat="false" ht="15" hidden="false" customHeight="false" outlineLevel="0" collapsed="false">
      <c r="A70" s="77" t="s">
        <v>514</v>
      </c>
      <c r="B70" s="43" t="s">
        <v>70</v>
      </c>
      <c r="C70" s="53" t="n">
        <f aca="false">IF(Assumptions!$B$135=1,C69,C39)*EV_Pilot!$C$58</f>
        <v>0</v>
      </c>
      <c r="D70" s="53" t="n">
        <f aca="false">IF(Assumptions!$B$135=1,D69,D39)*EV_Pilot!$C$58</f>
        <v>0</v>
      </c>
      <c r="E70" s="53" t="n">
        <f aca="false">IF(Assumptions!$B$135=1,E69,E39)*EV_Pilot!$C$58</f>
        <v>0</v>
      </c>
      <c r="F70" s="53" t="n">
        <f aca="false">IF(Assumptions!$B$135=1,F69,F39)*EV_Pilot!$C$58</f>
        <v>0</v>
      </c>
      <c r="G70" s="53" t="n">
        <f aca="false">IF(Assumptions!$B$135=1,G69,G39)*EV_Pilot!$C$58</f>
        <v>0</v>
      </c>
    </row>
    <row r="71" customFormat="false" ht="15" hidden="false" customHeight="false" outlineLevel="0" collapsed="false">
      <c r="A71" s="77" t="s">
        <v>515</v>
      </c>
      <c r="B71" s="43" t="s">
        <v>70</v>
      </c>
      <c r="C71" s="53" t="n">
        <f aca="false">C39*EV_Pilot!$C$66</f>
        <v>495</v>
      </c>
      <c r="D71" s="53" t="n">
        <f aca="false">D39*EV_Pilot!$C$66</f>
        <v>1980</v>
      </c>
      <c r="E71" s="53" t="n">
        <f aca="false">E39*EV_Pilot!$C$66</f>
        <v>3960</v>
      </c>
      <c r="F71" s="53" t="n">
        <f aca="false">F39*EV_Pilot!$C$66</f>
        <v>5940</v>
      </c>
      <c r="G71" s="53" t="n">
        <f aca="false">G39*EV_Pilot!$C$66</f>
        <v>7920</v>
      </c>
    </row>
    <row r="72" customFormat="false" ht="15" hidden="false" customHeight="false" outlineLevel="0" collapsed="false">
      <c r="A72" s="77" t="s">
        <v>516</v>
      </c>
      <c r="B72" s="43" t="s">
        <v>70</v>
      </c>
      <c r="C72" s="53" t="n">
        <f aca="false">IF(Assumptions!$B$135=1,C69,C39)*EV_Pilot!$C$59</f>
        <v>0</v>
      </c>
      <c r="D72" s="53" t="n">
        <f aca="false">IF(Assumptions!$B$135=1,D69,D39)*EV_Pilot!$C$59</f>
        <v>0</v>
      </c>
      <c r="E72" s="53" t="n">
        <f aca="false">IF(Assumptions!$B$135=1,E69,E39)*EV_Pilot!$C$59</f>
        <v>0</v>
      </c>
      <c r="F72" s="53" t="n">
        <f aca="false">IF(Assumptions!$B$135=1,F69,F39)*EV_Pilot!$C$59</f>
        <v>0</v>
      </c>
      <c r="G72" s="53" t="n">
        <f aca="false">IF(Assumptions!$B$135=1,G69,G39)*EV_Pilot!$C$59</f>
        <v>0</v>
      </c>
    </row>
    <row r="73" customFormat="false" ht="15" hidden="false" customHeight="false" outlineLevel="0" collapsed="false">
      <c r="A73" s="77" t="s">
        <v>517</v>
      </c>
      <c r="B73" s="43" t="s">
        <v>70</v>
      </c>
      <c r="C73" s="53" t="n">
        <f aca="false">C39*EV_Pilot!$C$67</f>
        <v>495</v>
      </c>
      <c r="D73" s="53" t="n">
        <f aca="false">D39*EV_Pilot!$C$67</f>
        <v>1980</v>
      </c>
      <c r="E73" s="53" t="n">
        <f aca="false">E39*EV_Pilot!$C$67</f>
        <v>3960</v>
      </c>
      <c r="F73" s="53" t="n">
        <f aca="false">F39*EV_Pilot!$C$67</f>
        <v>5940</v>
      </c>
      <c r="G73" s="53" t="n">
        <f aca="false">G39*EV_Pilot!$C$67</f>
        <v>7920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52"/>
    <col collapsed="false" customWidth="true" hidden="false" outlineLevel="0" max="7" min="3" style="0" width="14"/>
  </cols>
  <sheetData>
    <row r="1" customFormat="false" ht="17.35" hidden="false" customHeight="false" outlineLevel="0" collapsed="false">
      <c r="A1" s="1" t="s">
        <v>868</v>
      </c>
    </row>
    <row r="2" customFormat="false" ht="15" hidden="false" customHeight="false" outlineLevel="0" collapsed="false">
      <c r="A2" s="2" t="s">
        <v>612</v>
      </c>
    </row>
    <row r="4" customFormat="false" ht="15" hidden="false" customHeight="false" outlineLevel="0" collapsed="false">
      <c r="A4" s="15" t="s">
        <v>613</v>
      </c>
      <c r="B4" s="16" t="s">
        <v>614</v>
      </c>
      <c r="C4" s="16" t="s">
        <v>448</v>
      </c>
      <c r="D4" s="16" t="s">
        <v>449</v>
      </c>
      <c r="E4" s="16" t="s">
        <v>450</v>
      </c>
      <c r="F4" s="16" t="s">
        <v>451</v>
      </c>
      <c r="G4" s="16" t="s">
        <v>452</v>
      </c>
    </row>
    <row r="5" customFormat="false" ht="15" hidden="false" customHeight="false" outlineLevel="0" collapsed="false">
      <c r="A5" s="40" t="s">
        <v>615</v>
      </c>
      <c r="B5" s="41"/>
      <c r="C5" s="41"/>
      <c r="D5" s="41"/>
      <c r="E5" s="41"/>
      <c r="F5" s="41"/>
      <c r="G5" s="41"/>
    </row>
    <row r="6" customFormat="false" ht="22.35" hidden="false" customHeight="false" outlineLevel="0" collapsed="false">
      <c r="A6" s="14" t="s">
        <v>616</v>
      </c>
      <c r="B6" s="85" t="s">
        <v>617</v>
      </c>
      <c r="C6" s="18" t="n">
        <f aca="false">C_Pools!C18*((Assumptions!$B$21-Assumptions!$B$19)*Scenarios!$C$9+Assumptions!$B$70)</f>
        <v>19680</v>
      </c>
      <c r="D6" s="18" t="n">
        <f aca="false">C_Pools!D18*((Assumptions!$B$21-Assumptions!$B$19)*Scenarios!$C$9+Assumptions!$B$70)</f>
        <v>55478.4159728357</v>
      </c>
      <c r="E6" s="18" t="n">
        <f aca="false">C_Pools!E18*((Assumptions!$B$21-Assumptions!$B$19)*Scenarios!$C$9+Assumptions!$B$70)</f>
        <v>90535.5846899845</v>
      </c>
      <c r="F6" s="18" t="n">
        <f aca="false">C_Pools!F18*((Assumptions!$B$21-Assumptions!$B$19)*Scenarios!$C$9+Assumptions!$B$70)</f>
        <v>129859.249112941</v>
      </c>
      <c r="G6" s="18" t="n">
        <f aca="false">C_Pools!G18*((Assumptions!$B$21-Assumptions!$B$19)*Scenarios!$C$9+Assumptions!$B$70)</f>
        <v>164072.344675552</v>
      </c>
    </row>
    <row r="7" customFormat="false" ht="15" hidden="false" customHeight="false" outlineLevel="0" collapsed="false">
      <c r="A7" s="14" t="s">
        <v>618</v>
      </c>
      <c r="B7" s="85" t="s">
        <v>619</v>
      </c>
      <c r="C7" s="18" t="n">
        <f aca="false">C_Pools!C28*MAX(0,C_Pools!C31)*Assumptions!$B$28</f>
        <v>1215.8974111412</v>
      </c>
      <c r="D7" s="18" t="n">
        <f aca="false">C_Pools!D28*MAX(0,C_Pools!D31)*Assumptions!$B$28</f>
        <v>4458.29050751772</v>
      </c>
      <c r="E7" s="18" t="n">
        <f aca="false">C_Pools!E28*MAX(0,C_Pools!E31)*Assumptions!$B$28</f>
        <v>7295.38446684719</v>
      </c>
      <c r="F7" s="18" t="n">
        <f aca="false">C_Pools!F28*MAX(0,C_Pools!F31)*Assumptions!$B$28</f>
        <v>7700.68360389425</v>
      </c>
      <c r="G7" s="18" t="n">
        <f aca="false">C_Pools!G28*MAX(0,C_Pools!G31)*Assumptions!$B$28</f>
        <v>6079.48705570599</v>
      </c>
    </row>
    <row r="8" customFormat="false" ht="22.35" hidden="false" customHeight="false" outlineLevel="0" collapsed="false">
      <c r="A8" s="14" t="s">
        <v>620</v>
      </c>
      <c r="B8" s="85" t="s">
        <v>621</v>
      </c>
      <c r="C8" s="18" t="n">
        <f aca="false">C_Pools!C70-C_Pools!C71</f>
        <v>-495</v>
      </c>
      <c r="D8" s="18" t="n">
        <f aca="false">C_Pools!D70-C_Pools!D71</f>
        <v>-1980</v>
      </c>
      <c r="E8" s="18" t="n">
        <f aca="false">C_Pools!E70-C_Pools!E71</f>
        <v>-3960</v>
      </c>
      <c r="F8" s="18" t="n">
        <f aca="false">C_Pools!F70-C_Pools!F71</f>
        <v>-5940</v>
      </c>
      <c r="G8" s="18" t="n">
        <f aca="false">C_Pools!G70-C_Pools!G71</f>
        <v>-7920</v>
      </c>
    </row>
    <row r="9" customFormat="false" ht="15" hidden="false" customHeight="false" outlineLevel="0" collapsed="false">
      <c r="A9" s="14" t="s">
        <v>622</v>
      </c>
      <c r="B9" s="85" t="s">
        <v>623</v>
      </c>
      <c r="C9" s="18" t="n">
        <f aca="false">C_Pools!C48*Assumptions!$B$10</f>
        <v>918.733237556822</v>
      </c>
      <c r="D9" s="18" t="n">
        <f aca="false">C_Pools!D48*Assumptions!$B$10</f>
        <v>2882.51976406144</v>
      </c>
      <c r="E9" s="18" t="n">
        <f aca="false">C_Pools!E48*Assumptions!$B$10</f>
        <v>5034.48065169403</v>
      </c>
      <c r="F9" s="18" t="n">
        <f aca="false">C_Pools!F48*Assumptions!$B$10</f>
        <v>7310.15015880058</v>
      </c>
      <c r="G9" s="18" t="n">
        <f aca="false">C_Pools!G48*Assumptions!$B$10</f>
        <v>9526.30392425313</v>
      </c>
    </row>
    <row r="10" customFormat="false" ht="15" hidden="false" customHeight="false" outlineLevel="0" collapsed="false">
      <c r="A10" s="22" t="s">
        <v>624</v>
      </c>
      <c r="B10" s="85"/>
      <c r="C10" s="75" t="n">
        <f aca="false">SUM(C6:C9)+C31</f>
        <v>22856.605648698</v>
      </c>
      <c r="D10" s="75" t="n">
        <f aca="false">SUM(D6:D9)+D31</f>
        <v>65450.1512444149</v>
      </c>
      <c r="E10" s="75" t="n">
        <f aca="false">SUM(E6:E9)+E31</f>
        <v>107102.649808526</v>
      </c>
      <c r="F10" s="75" t="n">
        <f aca="false">SUM(F6:F9)+F31</f>
        <v>151738.207875636</v>
      </c>
      <c r="G10" s="75" t="n">
        <f aca="false">SUM(G6:G9)+G31</f>
        <v>189689.510655511</v>
      </c>
    </row>
    <row r="11" customFormat="false" ht="15" hidden="false" customHeight="false" outlineLevel="0" collapsed="false">
      <c r="A11" s="14" t="s">
        <v>625</v>
      </c>
      <c r="B11" s="85" t="s">
        <v>626</v>
      </c>
      <c r="C11" s="18" t="n">
        <f aca="false">Assumptions!$B$13*Yearly_Inputs!$B$8*Scenarios!$C$5</f>
        <v>0</v>
      </c>
      <c r="D11" s="18" t="n">
        <f aca="false">Assumptions!$B$13*Yearly_Inputs!$C$8*Scenarios!$C$5</f>
        <v>0</v>
      </c>
      <c r="E11" s="18" t="n">
        <f aca="false">Assumptions!$B$13*Yearly_Inputs!$D$8*Scenarios!$C$5</f>
        <v>0</v>
      </c>
      <c r="F11" s="18" t="n">
        <f aca="false">Assumptions!$B$13*Yearly_Inputs!$E$8*Scenarios!$C$5</f>
        <v>0</v>
      </c>
      <c r="G11" s="18" t="n">
        <f aca="false">Assumptions!$B$13*Yearly_Inputs!$F$8*Scenarios!$C$5</f>
        <v>0</v>
      </c>
    </row>
    <row r="12" customFormat="false" ht="15" hidden="false" customHeight="false" outlineLevel="0" collapsed="false">
      <c r="A12" s="22" t="s">
        <v>627</v>
      </c>
      <c r="B12" s="85"/>
      <c r="C12" s="75" t="n">
        <f aca="false">C10+C11</f>
        <v>22856.605648698</v>
      </c>
      <c r="D12" s="75" t="n">
        <f aca="false">D10+D11</f>
        <v>65450.1512444149</v>
      </c>
      <c r="E12" s="75" t="n">
        <f aca="false">E10+E11</f>
        <v>107102.649808526</v>
      </c>
      <c r="F12" s="75" t="n">
        <f aca="false">F10+F11</f>
        <v>151738.207875636</v>
      </c>
      <c r="G12" s="75" t="n">
        <f aca="false">G10+G11</f>
        <v>189689.510655511</v>
      </c>
    </row>
    <row r="14" customFormat="false" ht="15" hidden="false" customHeight="false" outlineLevel="0" collapsed="false">
      <c r="A14" s="40" t="s">
        <v>628</v>
      </c>
      <c r="B14" s="41"/>
      <c r="C14" s="41"/>
      <c r="D14" s="41"/>
      <c r="E14" s="41"/>
      <c r="F14" s="41"/>
      <c r="G14" s="41"/>
    </row>
    <row r="15" customFormat="false" ht="15" hidden="false" customHeight="false" outlineLevel="0" collapsed="false">
      <c r="A15" s="14" t="s">
        <v>629</v>
      </c>
      <c r="B15" s="85" t="s">
        <v>630</v>
      </c>
      <c r="C15" s="18" t="n">
        <f aca="false">C_Pools!C50</f>
        <v>50465.8974111412</v>
      </c>
      <c r="D15" s="18" t="n">
        <f aca="false">C_Pools!D50</f>
        <v>140973.887103565</v>
      </c>
      <c r="E15" s="18" t="n">
        <f aca="false">C_Pools!E50</f>
        <v>219193.5944219</v>
      </c>
      <c r="F15" s="18" t="n">
        <f aca="false">C_Pools!F50</f>
        <v>302787.272833754</v>
      </c>
      <c r="G15" s="18" t="n">
        <f aca="false">C_Pools!G50</f>
        <v>382758.037601878</v>
      </c>
    </row>
    <row r="16" customFormat="false" ht="15" hidden="false" customHeight="false" outlineLevel="0" collapsed="false">
      <c r="A16" s="14" t="s">
        <v>480</v>
      </c>
      <c r="B16" s="85" t="s">
        <v>631</v>
      </c>
      <c r="C16" s="18" t="n">
        <f aca="false">C_Pools!C32</f>
        <v>9000</v>
      </c>
      <c r="D16" s="18" t="n">
        <f aca="false">C_Pools!D32</f>
        <v>33000</v>
      </c>
      <c r="E16" s="18" t="n">
        <f aca="false">C_Pools!E32</f>
        <v>54000</v>
      </c>
      <c r="F16" s="18" t="n">
        <f aca="false">C_Pools!F32</f>
        <v>57000</v>
      </c>
      <c r="G16" s="18" t="n">
        <f aca="false">C_Pools!G32</f>
        <v>45000</v>
      </c>
    </row>
    <row r="17" customFormat="false" ht="15" hidden="false" customHeight="false" outlineLevel="0" collapsed="false">
      <c r="A17" s="14" t="s">
        <v>632</v>
      </c>
      <c r="B17" s="85" t="s">
        <v>633</v>
      </c>
      <c r="C17" s="18" t="n">
        <f aca="false">C_Pools!C51</f>
        <v>1460.84801762115</v>
      </c>
      <c r="D17" s="18" t="n">
        <f aca="false">C_Pools!D51</f>
        <v>4431.44273127753</v>
      </c>
      <c r="E17" s="18" t="n">
        <f aca="false">C_Pools!E51</f>
        <v>7840.08810572687</v>
      </c>
      <c r="F17" s="18" t="n">
        <f aca="false">C_Pools!F51</f>
        <v>12027.0374449339</v>
      </c>
      <c r="G17" s="18" t="n">
        <f aca="false">C_Pools!G51</f>
        <v>16554.2400881057</v>
      </c>
    </row>
    <row r="19" customFormat="false" ht="15" hidden="false" customHeight="false" outlineLevel="0" collapsed="false">
      <c r="A19" s="40" t="s">
        <v>634</v>
      </c>
      <c r="B19" s="41"/>
      <c r="C19" s="41"/>
      <c r="D19" s="41"/>
      <c r="E19" s="41"/>
      <c r="F19" s="41"/>
      <c r="G19" s="41"/>
    </row>
    <row r="20" customFormat="false" ht="15" hidden="false" customHeight="false" outlineLevel="0" collapsed="false">
      <c r="A20" s="14" t="s">
        <v>635</v>
      </c>
      <c r="B20" s="85" t="s">
        <v>636</v>
      </c>
      <c r="C20" s="53" t="n">
        <f aca="false">Yearly_Inputs!$B$9</f>
        <v>1</v>
      </c>
      <c r="D20" s="53" t="n">
        <f aca="false">Yearly_Inputs!$B$9+Scenarios!$C$8</f>
        <v>2</v>
      </c>
      <c r="E20" s="53" t="n">
        <f aca="false">Yearly_Inputs!$B$9+Scenarios!$C$8+Yearly_Inputs!$D$9</f>
        <v>4</v>
      </c>
      <c r="F20" s="53" t="n">
        <f aca="false">Yearly_Inputs!$B$9+Scenarios!$C$8+Yearly_Inputs!$D$9+Yearly_Inputs!$E$9</f>
        <v>6</v>
      </c>
      <c r="G20" s="53" t="n">
        <f aca="false">Yearly_Inputs!$B$9+Scenarios!$C$8+Yearly_Inputs!$D$9+Yearly_Inputs!$E$9+Yearly_Inputs!$F$9</f>
        <v>8</v>
      </c>
    </row>
    <row r="21" customFormat="false" ht="15" hidden="false" customHeight="false" outlineLevel="0" collapsed="false">
      <c r="A21" s="14" t="s">
        <v>637</v>
      </c>
      <c r="B21" s="85"/>
      <c r="C21" s="53" t="n">
        <f aca="false">Yearly_Inputs!$B$9*Yearly_Inputs!$B$10*C10</f>
        <v>22856.605648698</v>
      </c>
      <c r="D21" s="53" t="n">
        <f aca="false">Yearly_Inputs!$B$9*Yearly_Inputs!$B$10*D10+Scenarios!$C$8*Scenarios!$C$12*C10</f>
        <v>74592.7935038941</v>
      </c>
      <c r="E21" s="53" t="n">
        <f aca="false">Yearly_Inputs!$B$9*Yearly_Inputs!$B$10*E10+Scenarios!$C$8*Scenarios!$C$12*D10+Yearly_Inputs!$D$9*Scenarios!$C$12*C10</f>
        <v>151567.99482525</v>
      </c>
      <c r="F21" s="53" t="n">
        <f aca="false">Yearly_Inputs!$B$9*Yearly_Inputs!$B$10*F10+Scenarios!$C$8*Scenarios!$C$12*E10+Yearly_Inputs!$D$9*Scenarios!$C$12*D10+Yearly_Inputs!$E$9*Scenarios!$C$12*C10</f>
        <v>265224.673313536</v>
      </c>
      <c r="G21" s="53" t="n">
        <f aca="false">Yearly_Inputs!$B$9*Yearly_Inputs!$B$10*G10+Scenarios!$C$8*Scenarios!$C$12*F10+Yearly_Inputs!$D$9*Scenarios!$C$12*E10+Yearly_Inputs!$E$9*Scenarios!$C$12*D10+Yearly_Inputs!$F$9*Scenarios!$C$12*C10</f>
        <v>406712.319167076</v>
      </c>
    </row>
    <row r="22" customFormat="false" ht="15" hidden="false" customHeight="false" outlineLevel="0" collapsed="false">
      <c r="A22" s="14" t="s">
        <v>638</v>
      </c>
      <c r="B22" s="85"/>
      <c r="C22" s="53" t="n">
        <f aca="false">Yearly_Inputs!$B$9*Yearly_Inputs!$B$10*C11</f>
        <v>0</v>
      </c>
      <c r="D22" s="53" t="n">
        <f aca="false">Yearly_Inputs!$B$9*Yearly_Inputs!$B$10*D11+Scenarios!$C$8*Scenarios!$C$12*C11</f>
        <v>0</v>
      </c>
      <c r="E22" s="53" t="n">
        <f aca="false">Yearly_Inputs!$B$9*Yearly_Inputs!$B$10*E11+Scenarios!$C$8*Scenarios!$C$12*D11+Yearly_Inputs!$D$9*Scenarios!$C$12*C11</f>
        <v>0</v>
      </c>
      <c r="F22" s="53" t="n">
        <f aca="false">Yearly_Inputs!$B$9*Yearly_Inputs!$B$10*F11+Scenarios!$C$8*Scenarios!$C$12*E11+Yearly_Inputs!$D$9*Scenarios!$C$12*D11+Yearly_Inputs!$E$9*Scenarios!$C$12*C11</f>
        <v>0</v>
      </c>
      <c r="G22" s="53" t="n">
        <f aca="false">Yearly_Inputs!$B$9*Yearly_Inputs!$B$10*G11+Scenarios!$C$8*Scenarios!$C$12*F11+Yearly_Inputs!$D$9*Scenarios!$C$12*E11+Yearly_Inputs!$E$9*Scenarios!$C$12*D11+Yearly_Inputs!$F$9*Scenarios!$C$12*C11</f>
        <v>0</v>
      </c>
    </row>
    <row r="23" customFormat="false" ht="15" hidden="false" customHeight="false" outlineLevel="0" collapsed="false">
      <c r="A23" s="22" t="s">
        <v>639</v>
      </c>
      <c r="B23" s="85"/>
      <c r="C23" s="75" t="n">
        <f aca="false">C21+C22</f>
        <v>22856.605648698</v>
      </c>
      <c r="D23" s="75" t="n">
        <f aca="false">D21+D22</f>
        <v>74592.7935038941</v>
      </c>
      <c r="E23" s="75" t="n">
        <f aca="false">E21+E22</f>
        <v>151567.99482525</v>
      </c>
      <c r="F23" s="75" t="n">
        <f aca="false">F21+F22</f>
        <v>265224.673313536</v>
      </c>
      <c r="G23" s="75" t="n">
        <f aca="false">G21+G22</f>
        <v>406712.319167076</v>
      </c>
    </row>
    <row r="24" customFormat="false" ht="15" hidden="false" customHeight="false" outlineLevel="0" collapsed="false">
      <c r="A24" s="14" t="s">
        <v>640</v>
      </c>
      <c r="B24" s="85"/>
      <c r="C24" s="53" t="n">
        <f aca="false">Yearly_Inputs!$B$9*Yearly_Inputs!$B$10*C_Pools!C45</f>
        <v>2255000</v>
      </c>
      <c r="D24" s="53" t="n">
        <f aca="false">Yearly_Inputs!$B$9*Yearly_Inputs!$B$10*C_Pools!D45+Scenarios!$C$8*Scenarios!$C$12*C_Pools!C45</f>
        <v>3392000</v>
      </c>
      <c r="E24" s="53" t="n">
        <f aca="false">Yearly_Inputs!$B$9*Yearly_Inputs!$B$10*C_Pools!E45+Scenarios!$C$8*Scenarios!$C$12*C_Pools!D45+Yearly_Inputs!$D$9*Scenarios!$C$12*C_Pools!C45</f>
        <v>5630000</v>
      </c>
      <c r="F24" s="53" t="n">
        <f aca="false">Yearly_Inputs!$B$9*Yearly_Inputs!$B$10*C_Pools!F45+Scenarios!$C$8*Scenarios!$C$12*C_Pools!E45+Yearly_Inputs!$D$9*Scenarios!$C$12*C_Pools!D45+Yearly_Inputs!$E$9*Scenarios!$C$12*C_Pools!C45</f>
        <v>8398000</v>
      </c>
      <c r="G24" s="53" t="n">
        <f aca="false">Yearly_Inputs!$B$9*Yearly_Inputs!$B$10*C_Pools!G45+Scenarios!$C$8*Scenarios!$C$12*C_Pools!F45+Yearly_Inputs!$D$9*Scenarios!$C$12*C_Pools!E45+Yearly_Inputs!$E$9*Scenarios!$C$12*C_Pools!D45+Yearly_Inputs!$F$9*Scenarios!$C$12*C_Pools!C45</f>
        <v>10918000</v>
      </c>
    </row>
    <row r="25" customFormat="false" ht="15" hidden="false" customHeight="false" outlineLevel="0" collapsed="false">
      <c r="A25" s="14" t="s">
        <v>641</v>
      </c>
      <c r="B25" s="85" t="s">
        <v>495</v>
      </c>
      <c r="C25" s="53" t="n">
        <f aca="false">Yearly_Inputs!$B$9*Yearly_Inputs!$B$10*C_Pools!C49</f>
        <v>4510</v>
      </c>
      <c r="D25" s="53" t="n">
        <f aca="false">Yearly_Inputs!$B$9*Yearly_Inputs!$B$10*C_Pools!D49+Scenarios!$C$8*Scenarios!$C$12*C_Pools!C49</f>
        <v>6784</v>
      </c>
      <c r="E25" s="53" t="n">
        <f aca="false">Yearly_Inputs!$B$9*Yearly_Inputs!$B$10*C_Pools!E49+Scenarios!$C$8*Scenarios!$C$12*C_Pools!D49+Yearly_Inputs!$D$9*Scenarios!$C$12*C_Pools!C49</f>
        <v>11260</v>
      </c>
      <c r="F25" s="53" t="n">
        <f aca="false">Yearly_Inputs!$B$9*Yearly_Inputs!$B$10*C_Pools!F49+Scenarios!$C$8*Scenarios!$C$12*C_Pools!E49+Yearly_Inputs!$D$9*Scenarios!$C$12*C_Pools!D49+Yearly_Inputs!$E$9*Scenarios!$C$12*C_Pools!C49</f>
        <v>16796</v>
      </c>
      <c r="G25" s="53" t="n">
        <f aca="false">Yearly_Inputs!$B$9*Yearly_Inputs!$B$10*C_Pools!G49+Scenarios!$C$8*Scenarios!$C$12*C_Pools!F49+Yearly_Inputs!$D$9*Scenarios!$C$12*C_Pools!E49+Yearly_Inputs!$E$9*Scenarios!$C$12*C_Pools!D49+Yearly_Inputs!$F$9*Scenarios!$C$12*C_Pools!C49</f>
        <v>21836</v>
      </c>
    </row>
    <row r="26" customFormat="false" ht="15" hidden="false" customHeight="false" outlineLevel="0" collapsed="false">
      <c r="A26" s="14" t="s">
        <v>642</v>
      </c>
      <c r="B26" s="85"/>
      <c r="C26" s="53" t="n">
        <f aca="false">Yearly_Inputs!$B$9*Yearly_Inputs!$B$10*C_Pools!C50</f>
        <v>50465.8974111412</v>
      </c>
      <c r="D26" s="53" t="n">
        <f aca="false">Yearly_Inputs!$B$9*Yearly_Inputs!$B$10*C_Pools!D50+Scenarios!$C$8*Scenarios!$C$12*C_Pools!C50</f>
        <v>161160.246068021</v>
      </c>
      <c r="E26" s="53" t="n">
        <f aca="false">Yearly_Inputs!$B$9*Yearly_Inputs!$B$10*C_Pools!E50+Scenarios!$C$8*Scenarios!$C$12*C_Pools!D50+Yearly_Inputs!$D$9*Scenarios!$C$12*C_Pools!C50</f>
        <v>315955.867192239</v>
      </c>
      <c r="F26" s="53" t="n">
        <f aca="false">Yearly_Inputs!$B$9*Yearly_Inputs!$B$10*C_Pools!F50+Scenarios!$C$8*Scenarios!$C$12*C_Pools!E50+Yearly_Inputs!$D$9*Scenarios!$C$12*C_Pools!D50+Yearly_Inputs!$E$9*Scenarios!$C$12*C_Pools!C50</f>
        <v>543616.538214278</v>
      </c>
      <c r="G26" s="53" t="n">
        <f aca="false">Yearly_Inputs!$B$9*Yearly_Inputs!$B$10*C_Pools!G50+Scenarios!$C$8*Scenarios!$C$12*C_Pools!F50+Yearly_Inputs!$D$9*Scenarios!$C$12*C_Pools!E50+Yearly_Inputs!$E$9*Scenarios!$C$12*C_Pools!D50+Yearly_Inputs!$F$9*Scenarios!$C$12*C_Pools!C50</f>
        <v>832379.649884665</v>
      </c>
    </row>
    <row r="27" customFormat="false" ht="15" hidden="false" customHeight="false" outlineLevel="0" collapsed="false">
      <c r="A27" s="14" t="s">
        <v>643</v>
      </c>
      <c r="B27" s="85"/>
      <c r="C27" s="53" t="n">
        <f aca="false">Yearly_Inputs!$B$9*Yearly_Inputs!$B$10*C_Pools!C51</f>
        <v>1460.84801762115</v>
      </c>
      <c r="D27" s="53" t="n">
        <f aca="false">Yearly_Inputs!$B$9*Yearly_Inputs!$B$10*C_Pools!D51+Scenarios!$C$8*Scenarios!$C$12*C_Pools!C51</f>
        <v>5015.78193832599</v>
      </c>
      <c r="E27" s="53" t="n">
        <f aca="false">Yearly_Inputs!$B$9*Yearly_Inputs!$B$10*C_Pools!E51+Scenarios!$C$8*Scenarios!$C$12*C_Pools!D51+Yearly_Inputs!$D$9*Scenarios!$C$12*C_Pools!C51</f>
        <v>10781.3436123348</v>
      </c>
      <c r="F27" s="53" t="n">
        <f aca="false">Yearly_Inputs!$B$9*Yearly_Inputs!$B$10*C_Pools!F51+Scenarios!$C$8*Scenarios!$C$12*C_Pools!E51+Yearly_Inputs!$D$9*Scenarios!$C$12*C_Pools!D51+Yearly_Inputs!$E$9*Scenarios!$C$12*C_Pools!C51</f>
        <v>19876.9052863436</v>
      </c>
      <c r="G27" s="53" t="n">
        <f aca="false">Yearly_Inputs!$B$9*Yearly_Inputs!$B$10*C_Pools!G51+Scenarios!$C$8*Scenarios!$C$12*C_Pools!F51+Yearly_Inputs!$D$9*Scenarios!$C$12*C_Pools!E51+Yearly_Inputs!$E$9*Scenarios!$C$12*C_Pools!D51+Yearly_Inputs!$F$9*Scenarios!$C$12*C_Pools!C51</f>
        <v>32350.9581497797</v>
      </c>
    </row>
    <row r="28" customFormat="false" ht="15" hidden="false" customHeight="false" outlineLevel="0" collapsed="false">
      <c r="A28" s="10" t="s">
        <v>644</v>
      </c>
    </row>
    <row r="30" customFormat="false" ht="15" hidden="false" customHeight="false" outlineLevel="0" collapsed="false">
      <c r="A30" s="57" t="s">
        <v>645</v>
      </c>
      <c r="B30" s="58"/>
      <c r="C30" s="58"/>
      <c r="D30" s="58"/>
      <c r="E30" s="58"/>
      <c r="F30" s="58"/>
      <c r="G30" s="58"/>
    </row>
    <row r="31" customFormat="false" ht="22.35" hidden="false" customHeight="false" outlineLevel="0" collapsed="false">
      <c r="A31" s="77" t="s">
        <v>646</v>
      </c>
      <c r="B31" s="85" t="s">
        <v>647</v>
      </c>
      <c r="C31" s="18" t="n">
        <f aca="false">C_Pools!C63*Assumptions!$B$78*Assumptions!$B$52*Scenarios!$C$9*(1-Assumptions!$B$79)</f>
        <v>1536.975</v>
      </c>
      <c r="D31" s="18" t="n">
        <f aca="false">C_Pools!D63*Assumptions!$B$78*Assumptions!$B$52*Scenarios!$C$9*(1-Assumptions!$B$79)</f>
        <v>4610.925</v>
      </c>
      <c r="E31" s="18" t="n">
        <f aca="false">C_Pools!E63*Assumptions!$B$78*Assumptions!$B$52*Scenarios!$C$9*(1-Assumptions!$B$79)</f>
        <v>8197.2</v>
      </c>
      <c r="F31" s="18" t="n">
        <f aca="false">C_Pools!F63*Assumptions!$B$78*Assumptions!$B$52*Scenarios!$C$9*(1-Assumptions!$B$79)</f>
        <v>12808.125</v>
      </c>
      <c r="G31" s="18" t="n">
        <f aca="false">C_Pools!G63*Assumptions!$B$78*Assumptions!$B$52*Scenarios!$C$9*(1-Assumptions!$B$79)</f>
        <v>17931.375</v>
      </c>
    </row>
    <row r="32" customFormat="false" ht="15" hidden="false" customHeight="false" outlineLevel="0" collapsed="false">
      <c r="A32" s="77" t="s">
        <v>648</v>
      </c>
      <c r="B32" s="85" t="s">
        <v>649</v>
      </c>
      <c r="C32" s="53" t="n">
        <f aca="false">Assumptions!$B$13*Yearly_Inputs!$B$8*Assumptions!$B$65</f>
        <v>52000</v>
      </c>
      <c r="D32" s="53" t="n">
        <f aca="false">Assumptions!$B$13*Yearly_Inputs!$C$8*Assumptions!$B$65</f>
        <v>104000</v>
      </c>
      <c r="E32" s="53" t="n">
        <f aca="false">Assumptions!$B$13*Yearly_Inputs!$D$8*Assumptions!$B$65</f>
        <v>104000</v>
      </c>
      <c r="F32" s="53" t="n">
        <f aca="false">Assumptions!$B$13*Yearly_Inputs!$E$8*Assumptions!$B$65</f>
        <v>104000</v>
      </c>
      <c r="G32" s="53" t="n">
        <f aca="false">Assumptions!$B$13*Yearly_Inputs!$F$8*Assumptions!$B$65</f>
        <v>104000</v>
      </c>
    </row>
    <row r="33" customFormat="false" ht="15" hidden="false" customHeight="false" outlineLevel="0" collapsed="false">
      <c r="A33" s="77" t="s">
        <v>650</v>
      </c>
      <c r="B33" s="85" t="s">
        <v>651</v>
      </c>
      <c r="C33" s="53" t="n">
        <f aca="false">MAX(0,C32-C11)</f>
        <v>52000</v>
      </c>
      <c r="D33" s="53" t="n">
        <f aca="false">MAX(0,D32-D11)</f>
        <v>104000</v>
      </c>
      <c r="E33" s="53" t="n">
        <f aca="false">MAX(0,E32-E11)</f>
        <v>104000</v>
      </c>
      <c r="F33" s="53" t="n">
        <f aca="false">MAX(0,F32-F11)</f>
        <v>104000</v>
      </c>
      <c r="G33" s="53" t="n">
        <f aca="false">MAX(0,G32-G11)</f>
        <v>104000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7" min="3" style="0" width="14"/>
  </cols>
  <sheetData>
    <row r="1" customFormat="false" ht="17.35" hidden="false" customHeight="false" outlineLevel="0" collapsed="false">
      <c r="A1" s="1" t="s">
        <v>869</v>
      </c>
    </row>
    <row r="2" customFormat="false" ht="15" hidden="false" customHeight="false" outlineLevel="0" collapsed="false">
      <c r="A2" s="2" t="s">
        <v>653</v>
      </c>
    </row>
    <row r="4" customFormat="false" ht="15" hidden="false" customHeight="false" outlineLevel="0" collapsed="false">
      <c r="A4" s="15" t="s">
        <v>654</v>
      </c>
      <c r="B4" s="16" t="s">
        <v>655</v>
      </c>
      <c r="C4" s="16" t="s">
        <v>448</v>
      </c>
      <c r="D4" s="16" t="s">
        <v>449</v>
      </c>
      <c r="E4" s="16" t="s">
        <v>450</v>
      </c>
      <c r="F4" s="16" t="s">
        <v>451</v>
      </c>
      <c r="G4" s="16" t="s">
        <v>452</v>
      </c>
    </row>
    <row r="5" customFormat="false" ht="15" hidden="false" customHeight="false" outlineLevel="0" collapsed="false">
      <c r="A5" s="40" t="s">
        <v>656</v>
      </c>
      <c r="B5" s="41"/>
      <c r="C5" s="41"/>
      <c r="D5" s="41"/>
      <c r="E5" s="41"/>
      <c r="F5" s="41"/>
      <c r="G5" s="41"/>
    </row>
    <row r="6" customFormat="false" ht="15" hidden="false" customHeight="false" outlineLevel="0" collapsed="false">
      <c r="A6" s="14" t="s">
        <v>657</v>
      </c>
      <c r="B6" s="67" t="s">
        <v>658</v>
      </c>
      <c r="C6" s="18" t="n">
        <f aca="false">Assumptions!$B$60</f>
        <v>20000</v>
      </c>
      <c r="D6" s="18" t="n">
        <f aca="false">Assumptions!$B$61</f>
        <v>30000</v>
      </c>
      <c r="E6" s="18" t="n">
        <f aca="false">0</f>
        <v>0</v>
      </c>
      <c r="F6" s="18" t="n">
        <f aca="false">0</f>
        <v>0</v>
      </c>
      <c r="G6" s="18" t="n">
        <f aca="false">0</f>
        <v>0</v>
      </c>
    </row>
    <row r="7" customFormat="false" ht="15" hidden="false" customHeight="false" outlineLevel="0" collapsed="false">
      <c r="A7" s="14" t="s">
        <v>659</v>
      </c>
      <c r="B7" s="67" t="s">
        <v>658</v>
      </c>
      <c r="C7" s="18" t="n">
        <f aca="false">0</f>
        <v>0</v>
      </c>
      <c r="D7" s="18" t="n">
        <f aca="false">Assumptions!$B$39</f>
        <v>72000</v>
      </c>
      <c r="E7" s="18" t="n">
        <f aca="false">Assumptions!$B$39</f>
        <v>72000</v>
      </c>
      <c r="F7" s="18" t="n">
        <f aca="false">Assumptions!$B$39</f>
        <v>72000</v>
      </c>
      <c r="G7" s="18" t="n">
        <f aca="false">Assumptions!$B$39</f>
        <v>72000</v>
      </c>
    </row>
    <row r="8" customFormat="false" ht="15" hidden="false" customHeight="false" outlineLevel="0" collapsed="false">
      <c r="A8" s="22" t="s">
        <v>660</v>
      </c>
      <c r="B8" s="67"/>
      <c r="C8" s="75" t="n">
        <f aca="false">C6+C7</f>
        <v>20000</v>
      </c>
      <c r="D8" s="75" t="n">
        <f aca="false">D6+D7</f>
        <v>102000</v>
      </c>
      <c r="E8" s="75" t="n">
        <f aca="false">E6+E7</f>
        <v>72000</v>
      </c>
      <c r="F8" s="75" t="n">
        <f aca="false">F6+F7</f>
        <v>72000</v>
      </c>
      <c r="G8" s="75" t="n">
        <f aca="false">G6+G7</f>
        <v>72000</v>
      </c>
    </row>
    <row r="9" customFormat="false" ht="15" hidden="false" customHeight="false" outlineLevel="0" collapsed="false">
      <c r="A9" s="14" t="s">
        <v>661</v>
      </c>
      <c r="B9" s="67" t="s">
        <v>662</v>
      </c>
      <c r="C9" s="18" t="n">
        <f aca="false">C_Pools!C45*Assumptions!$B$40*(1-Assumptions!$B$62)</f>
        <v>0</v>
      </c>
      <c r="D9" s="18" t="n">
        <f aca="false">C_Pools!D45*Assumptions!$B$40</f>
        <v>18675</v>
      </c>
      <c r="E9" s="18" t="n">
        <f aca="false">C_Pools!E45*Assumptions!$B$40</f>
        <v>21225</v>
      </c>
      <c r="F9" s="18" t="n">
        <f aca="false">C_Pools!F45*Assumptions!$B$40</f>
        <v>26025</v>
      </c>
      <c r="G9" s="18" t="n">
        <f aca="false">C_Pools!G45*Assumptions!$B$40</f>
        <v>26025</v>
      </c>
    </row>
    <row r="10" customFormat="false" ht="15" hidden="false" customHeight="false" outlineLevel="0" collapsed="false">
      <c r="A10" s="14" t="s">
        <v>663</v>
      </c>
      <c r="B10" s="67" t="s">
        <v>662</v>
      </c>
      <c r="C10" s="18" t="n">
        <f aca="false">0</f>
        <v>0</v>
      </c>
      <c r="D10" s="18" t="n">
        <f aca="false">C_Pools!D46*Assumptions!$B$41</f>
        <v>16365.6391925385</v>
      </c>
      <c r="E10" s="18" t="n">
        <f aca="false">C_Pools!E46*Assumptions!$B$41</f>
        <v>26066.3469021702</v>
      </c>
      <c r="F10" s="18" t="n">
        <f aca="false">C_Pools!F46*Assumptions!$B$41</f>
        <v>35403.7924611866</v>
      </c>
      <c r="G10" s="18" t="n">
        <f aca="false">C_Pools!G46*Assumptions!$B$41</f>
        <v>43319.2488980481</v>
      </c>
    </row>
    <row r="11" customFormat="false" ht="15" hidden="false" customHeight="false" outlineLevel="0" collapsed="false">
      <c r="A11" s="22" t="s">
        <v>664</v>
      </c>
      <c r="B11" s="67"/>
      <c r="C11" s="75" t="n">
        <f aca="false">C9+C10</f>
        <v>0</v>
      </c>
      <c r="D11" s="75" t="n">
        <f aca="false">D9+D10</f>
        <v>35040.6391925385</v>
      </c>
      <c r="E11" s="75" t="n">
        <f aca="false">E9+E10</f>
        <v>47291.3469021702</v>
      </c>
      <c r="F11" s="75" t="n">
        <f aca="false">F9+F10</f>
        <v>61428.7924611866</v>
      </c>
      <c r="G11" s="75" t="n">
        <f aca="false">G9+G10</f>
        <v>69344.2488980481</v>
      </c>
    </row>
    <row r="12" customFormat="false" ht="15" hidden="false" customHeight="false" outlineLevel="0" collapsed="false">
      <c r="A12" s="14" t="s">
        <v>665</v>
      </c>
      <c r="B12" s="67" t="s">
        <v>666</v>
      </c>
      <c r="C12" s="18" t="n">
        <f aca="false">C_Pools!C48*Assumptions!$B$42</f>
        <v>1837.46647511364</v>
      </c>
      <c r="D12" s="18" t="n">
        <f aca="false">C_Pools!D48*Assumptions!$B$42</f>
        <v>5765.03952812289</v>
      </c>
      <c r="E12" s="18" t="n">
        <f aca="false">C_Pools!E48*Assumptions!$B$42</f>
        <v>10068.9613033881</v>
      </c>
      <c r="F12" s="18" t="n">
        <f aca="false">C_Pools!F48*Assumptions!$B$42</f>
        <v>14620.3003176012</v>
      </c>
      <c r="G12" s="18" t="n">
        <f aca="false">C_Pools!G48*Assumptions!$B$42</f>
        <v>19052.6078485063</v>
      </c>
    </row>
    <row r="13" customFormat="false" ht="15" hidden="false" customHeight="false" outlineLevel="0" collapsed="false">
      <c r="A13" s="22" t="s">
        <v>667</v>
      </c>
      <c r="B13" s="67"/>
      <c r="C13" s="76" t="n">
        <f aca="false">C8+C11-C25</f>
        <v>0</v>
      </c>
      <c r="D13" s="76" t="n">
        <f aca="false">D8+D11-D25</f>
        <v>102780.479394404</v>
      </c>
      <c r="E13" s="76" t="n">
        <f aca="false">E8+E11-E25</f>
        <v>89468.5101766276</v>
      </c>
      <c r="F13" s="76" t="n">
        <f aca="false">F8+F11-F25</f>
        <v>100071.59434589</v>
      </c>
      <c r="G13" s="76" t="n">
        <f aca="false">G8+G11-G25</f>
        <v>106008.186673536</v>
      </c>
    </row>
    <row r="15" customFormat="false" ht="15" hidden="false" customHeight="false" outlineLevel="0" collapsed="false">
      <c r="A15" s="40" t="s">
        <v>668</v>
      </c>
      <c r="B15" s="41"/>
      <c r="C15" s="41"/>
      <c r="D15" s="41"/>
      <c r="E15" s="41"/>
      <c r="F15" s="41"/>
      <c r="G15" s="41"/>
    </row>
    <row r="16" customFormat="false" ht="15" hidden="false" customHeight="false" outlineLevel="0" collapsed="false">
      <c r="A16" s="14" t="s">
        <v>669</v>
      </c>
      <c r="B16" s="67" t="s">
        <v>670</v>
      </c>
      <c r="C16" s="53" t="n">
        <f aca="false">Yearly_Inputs!$B$9*Yearly_Inputs!$B$10*C8</f>
        <v>20000</v>
      </c>
      <c r="D16" s="53" t="n">
        <f aca="false">Yearly_Inputs!$B$9*Yearly_Inputs!$B$10*D8+Scenarios!$C$8*Scenarios!$C$12*C8</f>
        <v>110000</v>
      </c>
      <c r="E16" s="53" t="n">
        <f aca="false">Yearly_Inputs!$B$9*Yearly_Inputs!$B$10*E8+Scenarios!$C$8*Scenarios!$C$12*D8+Yearly_Inputs!$D$9*Scenarios!$C$12*C8</f>
        <v>128800</v>
      </c>
      <c r="F16" s="53" t="n">
        <f aca="false">Yearly_Inputs!$B$9*Yearly_Inputs!$B$10*F8+Scenarios!$C$8*Scenarios!$C$12*E8+Yearly_Inputs!$D$9*Scenarios!$C$12*D8+Yearly_Inputs!$E$9*Scenarios!$C$12*C8</f>
        <v>198400</v>
      </c>
      <c r="G16" s="53" t="n">
        <f aca="false">Yearly_Inputs!$B$9*Yearly_Inputs!$B$10*G8+Scenarios!$C$8*Scenarios!$C$12*F8+Yearly_Inputs!$D$9*Scenarios!$C$12*E8+Yearly_Inputs!$E$9*Scenarios!$C$12*D8+Yearly_Inputs!$F$9*Scenarios!$C$12*C8</f>
        <v>256000</v>
      </c>
    </row>
    <row r="17" customFormat="false" ht="15" hidden="false" customHeight="false" outlineLevel="0" collapsed="false">
      <c r="A17" s="14" t="s">
        <v>671</v>
      </c>
      <c r="B17" s="67" t="s">
        <v>670</v>
      </c>
      <c r="C17" s="53" t="n">
        <f aca="false">Yearly_Inputs!$B$9*Yearly_Inputs!$B$10*C11</f>
        <v>0</v>
      </c>
      <c r="D17" s="53" t="n">
        <f aca="false">Yearly_Inputs!$B$9*Yearly_Inputs!$B$10*D11+Scenarios!$C$8*Scenarios!$C$12*C11</f>
        <v>35040.6391925385</v>
      </c>
      <c r="E17" s="53" t="n">
        <f aca="false">Yearly_Inputs!$B$9*Yearly_Inputs!$B$10*E11+Scenarios!$C$8*Scenarios!$C$12*D11+Yearly_Inputs!$D$9*Scenarios!$C$12*C11</f>
        <v>61307.6025791855</v>
      </c>
      <c r="F17" s="53" t="n">
        <f aca="false">Yearly_Inputs!$B$9*Yearly_Inputs!$B$10*F11+Scenarios!$C$8*Scenarios!$C$12*E11+Yearly_Inputs!$D$9*Scenarios!$C$12*D11+Yearly_Inputs!$E$9*Scenarios!$C$12*C11</f>
        <v>108377.842576085</v>
      </c>
      <c r="G17" s="53" t="n">
        <f aca="false">Yearly_Inputs!$B$9*Yearly_Inputs!$B$10*G11+Scenarios!$C$8*Scenarios!$C$12*F11+Yearly_Inputs!$D$9*Scenarios!$C$12*E11+Yearly_Inputs!$E$9*Scenarios!$C$12*D11+Yearly_Inputs!$F$9*Scenarios!$C$12*C11</f>
        <v>159781.35475829</v>
      </c>
    </row>
    <row r="18" customFormat="false" ht="15" hidden="false" customHeight="false" outlineLevel="0" collapsed="false">
      <c r="A18" s="22" t="s">
        <v>672</v>
      </c>
      <c r="B18" s="67"/>
      <c r="C18" s="76" t="n">
        <f aca="false">C16+C17-C37</f>
        <v>0</v>
      </c>
      <c r="D18" s="76" t="n">
        <f aca="false">D16+D17-D37</f>
        <v>102780.479394404</v>
      </c>
      <c r="E18" s="76" t="n">
        <f aca="false">E16+E17-E37</f>
        <v>130580.701934389</v>
      </c>
      <c r="F18" s="76" t="n">
        <f aca="false">F16+F17-F37</f>
        <v>218083.381932064</v>
      </c>
      <c r="G18" s="76" t="n">
        <f aca="false">G16+G17-G37</f>
        <v>299836.016068717</v>
      </c>
    </row>
    <row r="19" customFormat="false" ht="15" hidden="false" customHeight="false" outlineLevel="0" collapsed="false">
      <c r="A19" s="14" t="s">
        <v>673</v>
      </c>
      <c r="B19" s="67" t="s">
        <v>666</v>
      </c>
      <c r="C19" s="53" t="n">
        <f aca="false">Yearly_Inputs!$B$9*Yearly_Inputs!$B$10*C12</f>
        <v>1837.46647511364</v>
      </c>
      <c r="D19" s="53" t="n">
        <f aca="false">Yearly_Inputs!$B$9*Yearly_Inputs!$B$10*D12+Scenarios!$C$8*Scenarios!$C$12*C12</f>
        <v>6500.02611816834</v>
      </c>
      <c r="E19" s="53" t="n">
        <f aca="false">Yearly_Inputs!$B$9*Yearly_Inputs!$B$10*E12+Scenarios!$C$8*Scenarios!$C$12*D12+Yearly_Inputs!$D$9*Scenarios!$C$12*C12</f>
        <v>13844.9502947281</v>
      </c>
      <c r="F19" s="53" t="n">
        <f aca="false">Yearly_Inputs!$B$9*Yearly_Inputs!$B$10*F12+Scenarios!$C$8*Scenarios!$C$12*E12+Yearly_Inputs!$D$9*Scenarios!$C$12*D12+Yearly_Inputs!$E$9*Scenarios!$C$12*C12</f>
        <v>24729.8896415456</v>
      </c>
      <c r="G19" s="53" t="n">
        <f aca="false">Yearly_Inputs!$B$9*Yearly_Inputs!$B$10*G12+Scenarios!$C$8*Scenarios!$C$12*F12+Yearly_Inputs!$D$9*Scenarios!$C$12*E12+Yearly_Inputs!$E$9*Scenarios!$C$12*D12+Yearly_Inputs!$F$9*Scenarios!$C$12*C12</f>
        <v>39037.9018208464</v>
      </c>
    </row>
    <row r="20" customFormat="false" ht="15" hidden="false" customHeight="false" outlineLevel="0" collapsed="false">
      <c r="A20" s="22" t="s">
        <v>674</v>
      </c>
      <c r="B20" s="67"/>
      <c r="C20" s="75" t="n">
        <f aca="false">C18+C19+C38+C39+C40+C46</f>
        <v>18411.7164751136</v>
      </c>
      <c r="D20" s="75" t="n">
        <f aca="false">D18+D19+D38+D39+D40+D46</f>
        <v>156137.955512572</v>
      </c>
      <c r="E20" s="75" t="n">
        <f aca="false">E18+E19+E38+E39+E40+E46</f>
        <v>223852.152229117</v>
      </c>
      <c r="F20" s="75" t="n">
        <f aca="false">F18+F19+F38+F39+F40+F46</f>
        <v>359589.02157361</v>
      </c>
      <c r="G20" s="75" t="n">
        <f aca="false">G18+G19+G38+G39+G40+G46</f>
        <v>490119.067889564</v>
      </c>
    </row>
    <row r="23" customFormat="false" ht="15" hidden="false" customHeight="false" outlineLevel="0" collapsed="false">
      <c r="A23" s="57" t="s">
        <v>675</v>
      </c>
      <c r="B23" s="58"/>
      <c r="C23" s="58"/>
      <c r="D23" s="58"/>
      <c r="E23" s="58"/>
      <c r="F23" s="58"/>
      <c r="G23" s="58"/>
    </row>
    <row r="24" customFormat="false" ht="15" hidden="false" customHeight="false" outlineLevel="0" collapsed="false">
      <c r="A24" s="77" t="s">
        <v>676</v>
      </c>
      <c r="B24" s="67"/>
      <c r="C24" s="50" t="n">
        <f aca="false">Assumptions!$B$67</f>
        <v>1</v>
      </c>
      <c r="D24" s="50" t="n">
        <f aca="false">Assumptions!$B$68</f>
        <v>0.25</v>
      </c>
      <c r="E24" s="50" t="n">
        <f aca="false">Assumptions!$B$68</f>
        <v>0.25</v>
      </c>
      <c r="F24" s="50" t="n">
        <f aca="false">Assumptions!$B$68</f>
        <v>0.25</v>
      </c>
      <c r="G24" s="50" t="n">
        <f aca="false">Assumptions!$B$68</f>
        <v>0.25</v>
      </c>
    </row>
    <row r="25" customFormat="false" ht="15" hidden="false" customHeight="false" outlineLevel="0" collapsed="false">
      <c r="A25" s="77" t="s">
        <v>677</v>
      </c>
      <c r="B25" s="67" t="s">
        <v>678</v>
      </c>
      <c r="C25" s="53" t="n">
        <f aca="false">MIN(Assumptions!$B$66*C_Benefits!C33,C24*(C8+C11))</f>
        <v>20000</v>
      </c>
      <c r="D25" s="53" t="n">
        <f aca="false">MIN(Assumptions!$B$66*C_Benefits!D33,D24*(D8+D11))</f>
        <v>34260.1597981346</v>
      </c>
      <c r="E25" s="53" t="n">
        <f aca="false">MIN(Assumptions!$B$66*C_Benefits!E33,E24*(E8+E11))</f>
        <v>29822.8367255425</v>
      </c>
      <c r="F25" s="53" t="n">
        <f aca="false">MIN(Assumptions!$B$66*C_Benefits!F33,F24*(F8+F11))</f>
        <v>33357.1981152967</v>
      </c>
      <c r="G25" s="53" t="n">
        <f aca="false">MIN(Assumptions!$B$66*C_Benefits!G33,G24*(G8+G11))</f>
        <v>35336.062224512</v>
      </c>
    </row>
    <row r="26" customFormat="false" ht="15" hidden="false" customHeight="false" outlineLevel="0" collapsed="false">
      <c r="A26" s="77" t="s">
        <v>679</v>
      </c>
      <c r="B26" s="67" t="s">
        <v>678</v>
      </c>
      <c r="C26" s="53" t="n">
        <f aca="false">MIN(Assumptions!$B$66*Scenarios!$C$12*C_Benefits!C33,C24*Scenarios!$C$12*(C8+C11))</f>
        <v>8000</v>
      </c>
      <c r="D26" s="53" t="n">
        <f aca="false">MIN(Assumptions!$B$66*Scenarios!$C$12*C_Benefits!D33,D24*Scenarios!$C$12*(D8+D11))</f>
        <v>13704.0639192538</v>
      </c>
      <c r="E26" s="53" t="n">
        <f aca="false">MIN(Assumptions!$B$66*Scenarios!$C$12*C_Benefits!E33,E24*Scenarios!$C$12*(E8+E11))</f>
        <v>11929.134690217</v>
      </c>
      <c r="F26" s="53" t="n">
        <f aca="false">MIN(Assumptions!$B$66*Scenarios!$C$12*C_Benefits!F33,F24*Scenarios!$C$12*(F8+F11))</f>
        <v>13342.8792461187</v>
      </c>
      <c r="G26" s="53" t="n">
        <f aca="false">MIN(Assumptions!$B$66*Scenarios!$C$12*C_Benefits!G33,G24*Scenarios!$C$12*(G8+G11))</f>
        <v>14134.4248898048</v>
      </c>
    </row>
    <row r="27" customFormat="false" ht="15" hidden="false" customHeight="false" outlineLevel="0" collapsed="false">
      <c r="A27" s="77" t="s">
        <v>680</v>
      </c>
      <c r="B27" s="67" t="s">
        <v>666</v>
      </c>
      <c r="C27" s="53" t="n">
        <f aca="false">Assumptions!$B$80*Assumptions!$B$81*12*C_Pools!C9</f>
        <v>12000</v>
      </c>
      <c r="D27" s="53" t="n">
        <f aca="false">Assumptions!$B$80*Assumptions!$B$81*12*C_Pools!D9</f>
        <v>24000</v>
      </c>
      <c r="E27" s="53" t="n">
        <f aca="false">Assumptions!$B$80*Assumptions!$B$81*12*C_Pools!E9</f>
        <v>24000</v>
      </c>
      <c r="F27" s="53" t="n">
        <f aca="false">Assumptions!$B$80*Assumptions!$B$81*12*C_Pools!F9</f>
        <v>24000</v>
      </c>
      <c r="G27" s="53" t="n">
        <f aca="false">Assumptions!$B$80*Assumptions!$B$81*12*C_Pools!G9</f>
        <v>24000</v>
      </c>
    </row>
    <row r="28" customFormat="false" ht="15" hidden="false" customHeight="false" outlineLevel="0" collapsed="false">
      <c r="A28" s="77" t="s">
        <v>681</v>
      </c>
      <c r="B28" s="67" t="s">
        <v>682</v>
      </c>
      <c r="C28" s="53" t="n">
        <f aca="false">C_Pools!C28*Assumptions!$B$82*12</f>
        <v>4500</v>
      </c>
      <c r="D28" s="53" t="n">
        <f aca="false">C_Pools!D28*Assumptions!$B$82*12</f>
        <v>16500</v>
      </c>
      <c r="E28" s="53" t="n">
        <f aca="false">C_Pools!E28*Assumptions!$B$82*12</f>
        <v>27000</v>
      </c>
      <c r="F28" s="53" t="n">
        <f aca="false">C_Pools!F28*Assumptions!$B$82*12</f>
        <v>28500</v>
      </c>
      <c r="G28" s="53" t="n">
        <f aca="false">C_Pools!G28*Assumptions!$B$82*12</f>
        <v>22500</v>
      </c>
    </row>
    <row r="29" customFormat="false" ht="15" hidden="false" customHeight="false" outlineLevel="0" collapsed="false">
      <c r="A29" s="77" t="s">
        <v>683</v>
      </c>
      <c r="B29" s="67" t="s">
        <v>684</v>
      </c>
      <c r="C29" s="53" t="n">
        <f aca="false">C_Pools!C63*Assumptions!$B$78*Assumptions!$B$52*Assumptions!$B$79</f>
        <v>569.25</v>
      </c>
      <c r="D29" s="53" t="n">
        <f aca="false">C_Pools!D63*Assumptions!$B$78*Assumptions!$B$52*Assumptions!$B$79</f>
        <v>1707.75</v>
      </c>
      <c r="E29" s="53" t="n">
        <f aca="false">C_Pools!E63*Assumptions!$B$78*Assumptions!$B$52*Assumptions!$B$79</f>
        <v>3036</v>
      </c>
      <c r="F29" s="53" t="n">
        <f aca="false">C_Pools!F63*Assumptions!$B$78*Assumptions!$B$52*Assumptions!$B$79</f>
        <v>4743.75</v>
      </c>
      <c r="G29" s="53" t="n">
        <f aca="false">C_Pools!G63*Assumptions!$B$78*Assumptions!$B$52*Assumptions!$B$79</f>
        <v>6641.25</v>
      </c>
    </row>
    <row r="31" customFormat="false" ht="15" hidden="false" customHeight="false" outlineLevel="0" collapsed="false">
      <c r="A31" s="57" t="s">
        <v>685</v>
      </c>
      <c r="B31" s="58"/>
      <c r="C31" s="58"/>
      <c r="D31" s="58"/>
      <c r="E31" s="58"/>
      <c r="F31" s="58"/>
      <c r="G31" s="58"/>
    </row>
    <row r="32" customFormat="false" ht="15" hidden="false" customHeight="false" outlineLevel="0" collapsed="false">
      <c r="A32" s="77" t="s">
        <v>686</v>
      </c>
      <c r="B32" s="67" t="s">
        <v>687</v>
      </c>
      <c r="C32" s="53" t="n">
        <f aca="false">Yearly_Inputs!$B$9*MIN(Assumptions!$B$66*Yearly_Inputs!$B$10*C_Benefits!C33,C24*Yearly_Inputs!$B$10*(C8+C11))</f>
        <v>20000</v>
      </c>
      <c r="D32" s="53" t="n">
        <f aca="false">Yearly_Inputs!$B$9*MIN(Assumptions!$B$66*Yearly_Inputs!$B$10*C_Benefits!D33,D24*Yearly_Inputs!$B$10*(D8+D11))</f>
        <v>34260.1597981346</v>
      </c>
      <c r="E32" s="53" t="n">
        <f aca="false">Yearly_Inputs!$B$9*MIN(Assumptions!$B$66*Yearly_Inputs!$B$10*C_Benefits!E33,E24*Yearly_Inputs!$B$10*(E8+E11))</f>
        <v>29822.8367255425</v>
      </c>
      <c r="F32" s="53" t="n">
        <f aca="false">Yearly_Inputs!$B$9*MIN(Assumptions!$B$66*Yearly_Inputs!$B$10*C_Benefits!F33,F24*Yearly_Inputs!$B$10*(F8+F11))</f>
        <v>33357.1981152967</v>
      </c>
      <c r="G32" s="53" t="n">
        <f aca="false">Yearly_Inputs!$B$9*MIN(Assumptions!$B$66*Yearly_Inputs!$B$10*C_Benefits!G33,G24*Yearly_Inputs!$B$10*(G8+G11))</f>
        <v>35336.062224512</v>
      </c>
    </row>
    <row r="33" customFormat="false" ht="15" hidden="false" customHeight="false" outlineLevel="0" collapsed="false">
      <c r="A33" s="77" t="s">
        <v>688</v>
      </c>
      <c r="B33" s="67" t="s">
        <v>687</v>
      </c>
      <c r="C33" s="53" t="n">
        <f aca="false">0</f>
        <v>0</v>
      </c>
      <c r="D33" s="53" t="n">
        <f aca="false">Scenarios!$C$8*MIN(Assumptions!$B$66*Scenarios!$C$12*C_Benefits!C33,C24*Scenarios!$C$12*(C8+C11))</f>
        <v>8000</v>
      </c>
      <c r="E33" s="53" t="n">
        <f aca="false">Scenarios!$C$8*MIN(Assumptions!$B$66*Scenarios!$C$12*C_Benefits!D33,D24*Scenarios!$C$12*(D8+D11))</f>
        <v>13704.0639192538</v>
      </c>
      <c r="F33" s="53" t="n">
        <f aca="false">Scenarios!$C$8*MIN(Assumptions!$B$66*Scenarios!$C$12*C_Benefits!E33,E24*Scenarios!$C$12*(E8+E11))</f>
        <v>11929.134690217</v>
      </c>
      <c r="G33" s="53" t="n">
        <f aca="false">Scenarios!$C$8*MIN(Assumptions!$B$66*Scenarios!$C$12*C_Benefits!F33,F24*Scenarios!$C$12*(F8+F11))</f>
        <v>13342.8792461187</v>
      </c>
    </row>
    <row r="34" customFormat="false" ht="15" hidden="false" customHeight="false" outlineLevel="0" collapsed="false">
      <c r="A34" s="77" t="s">
        <v>689</v>
      </c>
      <c r="B34" s="67" t="s">
        <v>687</v>
      </c>
      <c r="C34" s="53" t="n">
        <f aca="false">0</f>
        <v>0</v>
      </c>
      <c r="D34" s="53" t="n">
        <f aca="false">0</f>
        <v>0</v>
      </c>
      <c r="E34" s="53" t="n">
        <f aca="false">Yearly_Inputs!$D$9*MIN(Assumptions!$B$66*Scenarios!$C$12*C_Benefits!C33,C24*Scenarios!$C$12*(C8+C11))</f>
        <v>16000</v>
      </c>
      <c r="F34" s="53" t="n">
        <f aca="false">Yearly_Inputs!$D$9*MIN(Assumptions!$B$66*Scenarios!$C$12*C_Benefits!D33,D24*Scenarios!$C$12*(D8+D11))</f>
        <v>27408.1278385077</v>
      </c>
      <c r="G34" s="53" t="n">
        <f aca="false">Yearly_Inputs!$D$9*MIN(Assumptions!$B$66*Scenarios!$C$12*C_Benefits!E33,E24*Scenarios!$C$12*(E8+E11))</f>
        <v>23858.269380434</v>
      </c>
    </row>
    <row r="35" customFormat="false" ht="15" hidden="false" customHeight="false" outlineLevel="0" collapsed="false">
      <c r="A35" s="77" t="s">
        <v>690</v>
      </c>
      <c r="B35" s="67" t="s">
        <v>687</v>
      </c>
      <c r="C35" s="53" t="n">
        <f aca="false">0</f>
        <v>0</v>
      </c>
      <c r="D35" s="53" t="n">
        <f aca="false">0</f>
        <v>0</v>
      </c>
      <c r="E35" s="53" t="n">
        <f aca="false">0</f>
        <v>0</v>
      </c>
      <c r="F35" s="53" t="n">
        <f aca="false">Yearly_Inputs!$E$9*MIN(Assumptions!$B$66*Scenarios!$C$12*C_Benefits!C33,C24*Scenarios!$C$12*(C8+C11))</f>
        <v>16000</v>
      </c>
      <c r="G35" s="53" t="n">
        <f aca="false">Yearly_Inputs!$E$9*MIN(Assumptions!$B$66*Scenarios!$C$12*C_Benefits!D33,D24*Scenarios!$C$12*(D8+D11))</f>
        <v>27408.1278385077</v>
      </c>
    </row>
    <row r="36" customFormat="false" ht="15" hidden="false" customHeight="false" outlineLevel="0" collapsed="false">
      <c r="A36" s="77" t="s">
        <v>691</v>
      </c>
      <c r="B36" s="67" t="s">
        <v>687</v>
      </c>
      <c r="C36" s="53" t="n">
        <f aca="false">0</f>
        <v>0</v>
      </c>
      <c r="D36" s="53" t="n">
        <f aca="false">0</f>
        <v>0</v>
      </c>
      <c r="E36" s="53" t="n">
        <f aca="false">0</f>
        <v>0</v>
      </c>
      <c r="F36" s="53" t="n">
        <f aca="false">0</f>
        <v>0</v>
      </c>
      <c r="G36" s="53" t="n">
        <f aca="false">Yearly_Inputs!$F$9*MIN(Assumptions!$B$66*Scenarios!$C$12*C_Benefits!C33,C24*Scenarios!$C$12*(C8+C11))</f>
        <v>16000</v>
      </c>
    </row>
    <row r="37" customFormat="false" ht="15" hidden="false" customHeight="false" outlineLevel="0" collapsed="false">
      <c r="A37" s="57" t="s">
        <v>692</v>
      </c>
      <c r="B37" s="67" t="s">
        <v>687</v>
      </c>
      <c r="C37" s="76" t="n">
        <f aca="false">SUM(C32:C36)</f>
        <v>20000</v>
      </c>
      <c r="D37" s="76" t="n">
        <f aca="false">SUM(D32:D36)</f>
        <v>42260.1597981346</v>
      </c>
      <c r="E37" s="76" t="n">
        <f aca="false">SUM(E32:E36)</f>
        <v>59526.9006447964</v>
      </c>
      <c r="F37" s="76" t="n">
        <f aca="false">SUM(F32:F36)</f>
        <v>88694.4606440214</v>
      </c>
      <c r="G37" s="76" t="n">
        <f aca="false">SUM(G32:G36)</f>
        <v>115945.338689572</v>
      </c>
    </row>
    <row r="38" customFormat="false" ht="15" hidden="false" customHeight="false" outlineLevel="0" collapsed="false">
      <c r="A38" s="77" t="s">
        <v>693</v>
      </c>
      <c r="B38" s="67" t="s">
        <v>666</v>
      </c>
      <c r="C38" s="53" t="n">
        <f aca="false">Yearly_Inputs!$B$9*Yearly_Inputs!$B$10*C27</f>
        <v>12000</v>
      </c>
      <c r="D38" s="53" t="n">
        <f aca="false">Yearly_Inputs!$B$9*Yearly_Inputs!$B$10*D27+Scenarios!$C$8*Scenarios!$C$12*C27</f>
        <v>28800</v>
      </c>
      <c r="E38" s="53" t="n">
        <f aca="false">Yearly_Inputs!$B$9*Yearly_Inputs!$B$10*E27+Scenarios!$C$8*Scenarios!$C$12*D27+Yearly_Inputs!$D$9*Scenarios!$C$12*C27</f>
        <v>43200</v>
      </c>
      <c r="F38" s="53" t="n">
        <f aca="false">Yearly_Inputs!$B$9*Yearly_Inputs!$B$10*F27+Scenarios!$C$8*Scenarios!$C$12*E27+Yearly_Inputs!$D$9*Scenarios!$C$12*D27+Yearly_Inputs!$E$9*Scenarios!$C$12*C27</f>
        <v>62400</v>
      </c>
      <c r="G38" s="53" t="n">
        <f aca="false">Yearly_Inputs!$B$9*Yearly_Inputs!$B$10*G27+Scenarios!$C$8*Scenarios!$C$12*F27+Yearly_Inputs!$D$9*Scenarios!$C$12*E27+Yearly_Inputs!$E$9*Scenarios!$C$12*D27+Yearly_Inputs!$F$9*Scenarios!$C$12*C27</f>
        <v>81600</v>
      </c>
    </row>
    <row r="39" customFormat="false" ht="15" hidden="false" customHeight="false" outlineLevel="0" collapsed="false">
      <c r="A39" s="77" t="s">
        <v>694</v>
      </c>
      <c r="B39" s="67" t="s">
        <v>682</v>
      </c>
      <c r="C39" s="53" t="n">
        <f aca="false">Yearly_Inputs!$B$9*Yearly_Inputs!$B$10*C28</f>
        <v>4500</v>
      </c>
      <c r="D39" s="53" t="n">
        <f aca="false">Yearly_Inputs!$B$9*Yearly_Inputs!$B$10*D28+Scenarios!$C$8*Scenarios!$C$12*C28</f>
        <v>18300</v>
      </c>
      <c r="E39" s="53" t="n">
        <f aca="false">Yearly_Inputs!$B$9*Yearly_Inputs!$B$10*E28+Scenarios!$C$8*Scenarios!$C$12*D28+Yearly_Inputs!$D$9*Scenarios!$C$12*C28</f>
        <v>37200</v>
      </c>
      <c r="F39" s="53" t="n">
        <f aca="false">Yearly_Inputs!$B$9*Yearly_Inputs!$B$10*F28+Scenarios!$C$8*Scenarios!$C$12*E28+Yearly_Inputs!$D$9*Scenarios!$C$12*D28+Yearly_Inputs!$E$9*Scenarios!$C$12*C28</f>
        <v>56100</v>
      </c>
      <c r="G39" s="53" t="n">
        <f aca="false">Yearly_Inputs!$B$9*Yearly_Inputs!$B$10*G28+Scenarios!$C$8*Scenarios!$C$12*F28+Yearly_Inputs!$D$9*Scenarios!$C$12*E28+Yearly_Inputs!$E$9*Scenarios!$C$12*D28+Yearly_Inputs!$F$9*Scenarios!$C$12*C28</f>
        <v>72300</v>
      </c>
    </row>
    <row r="40" customFormat="false" ht="15" hidden="false" customHeight="false" outlineLevel="0" collapsed="false">
      <c r="A40" s="77" t="s">
        <v>695</v>
      </c>
      <c r="B40" s="67" t="s">
        <v>684</v>
      </c>
      <c r="C40" s="53" t="n">
        <f aca="false">Yearly_Inputs!$B$9*Yearly_Inputs!$B$10*C29</f>
        <v>569.25</v>
      </c>
      <c r="D40" s="53" t="n">
        <f aca="false">Yearly_Inputs!$B$9*Yearly_Inputs!$B$10*D29+Scenarios!$C$8*Scenarios!$C$12*C29</f>
        <v>1935.45</v>
      </c>
      <c r="E40" s="53" t="n">
        <f aca="false">Yearly_Inputs!$B$9*Yearly_Inputs!$B$10*E29+Scenarios!$C$8*Scenarios!$C$12*D29+Yearly_Inputs!$D$9*Scenarios!$C$12*C29</f>
        <v>4174.5</v>
      </c>
      <c r="F40" s="53" t="n">
        <f aca="false">Yearly_Inputs!$B$9*Yearly_Inputs!$B$10*F29+Scenarios!$C$8*Scenarios!$C$12*E29+Yearly_Inputs!$D$9*Scenarios!$C$12*D29+Yearly_Inputs!$E$9*Scenarios!$C$12*C29</f>
        <v>7779.75</v>
      </c>
      <c r="G40" s="53" t="n">
        <f aca="false">Yearly_Inputs!$B$9*Yearly_Inputs!$B$10*G29+Scenarios!$C$8*Scenarios!$C$12*F29+Yearly_Inputs!$D$9*Scenarios!$C$12*E29+Yearly_Inputs!$E$9*Scenarios!$C$12*D29+Yearly_Inputs!$F$9*Scenarios!$C$12*C29</f>
        <v>12789.15</v>
      </c>
    </row>
    <row r="42" customFormat="false" ht="15" hidden="false" customHeight="false" outlineLevel="0" collapsed="false">
      <c r="A42" s="57" t="s">
        <v>696</v>
      </c>
      <c r="B42" s="58"/>
      <c r="C42" s="58"/>
      <c r="D42" s="58"/>
      <c r="E42" s="58"/>
      <c r="F42" s="58"/>
      <c r="G42" s="58"/>
    </row>
    <row r="43" customFormat="false" ht="15" hidden="false" customHeight="false" outlineLevel="0" collapsed="false">
      <c r="A43" s="77" t="s">
        <v>697</v>
      </c>
      <c r="B43" s="67" t="s">
        <v>698</v>
      </c>
      <c r="C43" s="53" t="n">
        <f aca="false">C_Pools!C72</f>
        <v>0</v>
      </c>
      <c r="D43" s="53" t="n">
        <f aca="false">C_Pools!D72</f>
        <v>0</v>
      </c>
      <c r="E43" s="53" t="n">
        <f aca="false">C_Pools!E72</f>
        <v>0</v>
      </c>
      <c r="F43" s="53" t="n">
        <f aca="false">C_Pools!F72</f>
        <v>0</v>
      </c>
      <c r="G43" s="53" t="n">
        <f aca="false">C_Pools!G72</f>
        <v>0</v>
      </c>
    </row>
    <row r="44" customFormat="false" ht="15" hidden="false" customHeight="false" outlineLevel="0" collapsed="false">
      <c r="A44" s="77" t="s">
        <v>699</v>
      </c>
      <c r="B44" s="67" t="s">
        <v>700</v>
      </c>
      <c r="C44" s="53" t="n">
        <f aca="false">-C_Pools!C73</f>
        <v>-495</v>
      </c>
      <c r="D44" s="53" t="n">
        <f aca="false">-C_Pools!D73</f>
        <v>-1980</v>
      </c>
      <c r="E44" s="53" t="n">
        <f aca="false">-C_Pools!E73</f>
        <v>-3960</v>
      </c>
      <c r="F44" s="53" t="n">
        <f aca="false">-C_Pools!F73</f>
        <v>-5940</v>
      </c>
      <c r="G44" s="53" t="n">
        <f aca="false">-C_Pools!G73</f>
        <v>-7920</v>
      </c>
    </row>
    <row r="45" customFormat="false" ht="15" hidden="false" customHeight="false" outlineLevel="0" collapsed="false">
      <c r="A45" s="57" t="s">
        <v>701</v>
      </c>
      <c r="B45" s="67"/>
      <c r="C45" s="76" t="n">
        <f aca="false">C43+C44</f>
        <v>-495</v>
      </c>
      <c r="D45" s="76" t="n">
        <f aca="false">D43+D44</f>
        <v>-1980</v>
      </c>
      <c r="E45" s="76" t="n">
        <f aca="false">E43+E44</f>
        <v>-3960</v>
      </c>
      <c r="F45" s="76" t="n">
        <f aca="false">F43+F44</f>
        <v>-5940</v>
      </c>
      <c r="G45" s="76" t="n">
        <f aca="false">G43+G44</f>
        <v>-7920</v>
      </c>
    </row>
    <row r="46" customFormat="false" ht="15" hidden="false" customHeight="false" outlineLevel="0" collapsed="false">
      <c r="A46" s="57" t="s">
        <v>702</v>
      </c>
      <c r="B46" s="67"/>
      <c r="C46" s="76" t="n">
        <f aca="false">Yearly_Inputs!$B$9*Yearly_Inputs!$B$10*C45</f>
        <v>-495</v>
      </c>
      <c r="D46" s="76" t="n">
        <f aca="false">Yearly_Inputs!$B$9*Yearly_Inputs!$B$10*D45+Scenarios!$C$8*Scenarios!$C$12*C45</f>
        <v>-2178</v>
      </c>
      <c r="E46" s="76" t="n">
        <f aca="false">Yearly_Inputs!$B$9*Yearly_Inputs!$B$10*E45+Scenarios!$C$8*Scenarios!$C$12*D45+Yearly_Inputs!$D$9*Scenarios!$C$12*C45</f>
        <v>-5148</v>
      </c>
      <c r="F46" s="76" t="n">
        <f aca="false">Yearly_Inputs!$B$9*Yearly_Inputs!$B$10*F45+Scenarios!$C$8*Scenarios!$C$12*E45+Yearly_Inputs!$D$9*Scenarios!$C$12*D45+Yearly_Inputs!$E$9*Scenarios!$C$12*C45</f>
        <v>-9504</v>
      </c>
      <c r="G46" s="76" t="n">
        <f aca="false">Yearly_Inputs!$B$9*Yearly_Inputs!$B$10*G45+Scenarios!$C$8*Scenarios!$C$12*F45+Yearly_Inputs!$D$9*Scenarios!$C$12*E45+Yearly_Inputs!$E$9*Scenarios!$C$12*D45+Yearly_Inputs!$F$9*Scenarios!$C$12*C45</f>
        <v>-15444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2"/>
    <col collapsed="false" customWidth="true" hidden="false" outlineLevel="0" max="7" min="3" style="0" width="14"/>
  </cols>
  <sheetData>
    <row r="1" customFormat="false" ht="17.35" hidden="false" customHeight="false" outlineLevel="0" collapsed="false">
      <c r="A1" s="1" t="s">
        <v>870</v>
      </c>
    </row>
    <row r="2" customFormat="false" ht="15" hidden="false" customHeight="false" outlineLevel="0" collapsed="false">
      <c r="A2" s="2" t="s">
        <v>704</v>
      </c>
    </row>
    <row r="4" customFormat="false" ht="15" hidden="false" customHeight="false" outlineLevel="0" collapsed="false">
      <c r="A4" s="15" t="s">
        <v>447</v>
      </c>
      <c r="B4" s="16"/>
      <c r="C4" s="16" t="s">
        <v>448</v>
      </c>
      <c r="D4" s="16" t="s">
        <v>449</v>
      </c>
      <c r="E4" s="16" t="s">
        <v>450</v>
      </c>
      <c r="F4" s="16" t="s">
        <v>451</v>
      </c>
      <c r="G4" s="16" t="s">
        <v>452</v>
      </c>
    </row>
    <row r="5" customFormat="false" ht="15" hidden="false" customHeight="false" outlineLevel="0" collapsed="false">
      <c r="A5" s="40" t="s">
        <v>705</v>
      </c>
      <c r="B5" s="41"/>
      <c r="C5" s="41"/>
      <c r="D5" s="41"/>
      <c r="E5" s="41"/>
      <c r="F5" s="41"/>
      <c r="G5" s="41"/>
    </row>
    <row r="6" customFormat="false" ht="15" hidden="false" customHeight="false" outlineLevel="0" collapsed="false">
      <c r="A6" s="14" t="s">
        <v>706</v>
      </c>
      <c r="C6" s="18" t="n">
        <f aca="false">C_Benefits!C12</f>
        <v>22856.605648698</v>
      </c>
      <c r="D6" s="18" t="n">
        <f aca="false">C_Benefits!D12</f>
        <v>65450.1512444149</v>
      </c>
      <c r="E6" s="18" t="n">
        <f aca="false">C_Benefits!E12</f>
        <v>107102.649808526</v>
      </c>
      <c r="F6" s="18" t="n">
        <f aca="false">C_Benefits!F12</f>
        <v>151738.207875636</v>
      </c>
      <c r="G6" s="18" t="n">
        <f aca="false">C_Benefits!G12</f>
        <v>189689.510655511</v>
      </c>
    </row>
    <row r="7" customFormat="false" ht="15" hidden="false" customHeight="false" outlineLevel="0" collapsed="false">
      <c r="A7" s="14" t="s">
        <v>707</v>
      </c>
      <c r="C7" s="18" t="n">
        <f aca="false">C_Pricing_Income!C13</f>
        <v>0</v>
      </c>
      <c r="D7" s="18" t="n">
        <f aca="false">C_Pricing_Income!D13</f>
        <v>102780.479394404</v>
      </c>
      <c r="E7" s="18" t="n">
        <f aca="false">C_Pricing_Income!E13</f>
        <v>89468.5101766276</v>
      </c>
      <c r="F7" s="18" t="n">
        <f aca="false">C_Pricing_Income!F13</f>
        <v>100071.59434589</v>
      </c>
      <c r="G7" s="18" t="n">
        <f aca="false">C_Pricing_Income!G13</f>
        <v>106008.186673536</v>
      </c>
    </row>
    <row r="8" customFormat="false" ht="15" hidden="false" customHeight="false" outlineLevel="0" collapsed="false">
      <c r="A8" s="22" t="s">
        <v>708</v>
      </c>
      <c r="C8" s="75" t="n">
        <f aca="false">C6-C7</f>
        <v>22856.605648698</v>
      </c>
      <c r="D8" s="75" t="n">
        <f aca="false">D6-D7</f>
        <v>-37330.328149989</v>
      </c>
      <c r="E8" s="75" t="n">
        <f aca="false">E6-E7</f>
        <v>17634.1396318981</v>
      </c>
      <c r="F8" s="75" t="n">
        <f aca="false">F6-F7</f>
        <v>51666.6135297456</v>
      </c>
      <c r="G8" s="75" t="n">
        <f aca="false">G6-G7</f>
        <v>83681.3239819749</v>
      </c>
    </row>
    <row r="9" customFormat="false" ht="15" hidden="false" customHeight="false" outlineLevel="0" collapsed="false">
      <c r="A9" s="22" t="s">
        <v>709</v>
      </c>
      <c r="C9" s="76" t="n">
        <f aca="false">C8</f>
        <v>22856.605648698</v>
      </c>
      <c r="D9" s="76" t="n">
        <f aca="false">C9+D8</f>
        <v>-14473.722501291</v>
      </c>
      <c r="E9" s="76" t="n">
        <f aca="false">D9+E8</f>
        <v>3160.41713060717</v>
      </c>
      <c r="F9" s="76" t="n">
        <f aca="false">E9+F8</f>
        <v>54827.0306603528</v>
      </c>
      <c r="G9" s="76" t="n">
        <f aca="false">F9+G8</f>
        <v>138508.354642328</v>
      </c>
    </row>
    <row r="10" customFormat="false" ht="15" hidden="false" customHeight="false" outlineLevel="0" collapsed="false">
      <c r="A10" s="14" t="s">
        <v>710</v>
      </c>
      <c r="C10" s="53" t="n">
        <f aca="false">C_Benefits!C10-C7</f>
        <v>22856.605648698</v>
      </c>
      <c r="D10" s="53" t="n">
        <f aca="false">C_Benefits!D10-D7</f>
        <v>-37330.328149989</v>
      </c>
      <c r="E10" s="53" t="n">
        <f aca="false">C_Benefits!E10-E7</f>
        <v>17634.1396318981</v>
      </c>
      <c r="F10" s="53" t="n">
        <f aca="false">C_Benefits!F10-F7</f>
        <v>51666.6135297456</v>
      </c>
      <c r="G10" s="53" t="n">
        <f aca="false">C_Benefits!G10-G7</f>
        <v>83681.3239819749</v>
      </c>
    </row>
    <row r="11" customFormat="false" ht="15" hidden="false" customHeight="false" outlineLevel="0" collapsed="false">
      <c r="A11" s="14" t="s">
        <v>711</v>
      </c>
      <c r="C11" s="86" t="str">
        <f aca="false">IF(C7&lt;=0,"n/a",C6/C7)</f>
        <v>n/a</v>
      </c>
      <c r="D11" s="86" t="n">
        <f aca="false">IF(D7&lt;=0,"n/a",D6/D7)</f>
        <v>0.636795543570684</v>
      </c>
      <c r="E11" s="86" t="n">
        <f aca="false">IF(E7&lt;=0,"n/a",E6/E7)</f>
        <v>1.19709884066567</v>
      </c>
      <c r="F11" s="86" t="n">
        <f aca="false">IF(F7&lt;=0,"n/a",F6/F7)</f>
        <v>1.51629649619815</v>
      </c>
      <c r="G11" s="86" t="n">
        <f aca="false">IF(G7&lt;=0,"n/a",G6/G7)</f>
        <v>1.78938548623307</v>
      </c>
    </row>
    <row r="13" customFormat="false" ht="15" hidden="false" customHeight="false" outlineLevel="0" collapsed="false">
      <c r="A13" s="40" t="s">
        <v>712</v>
      </c>
      <c r="B13" s="41"/>
      <c r="C13" s="41"/>
      <c r="D13" s="41"/>
      <c r="E13" s="41"/>
      <c r="F13" s="41"/>
      <c r="G13" s="41"/>
    </row>
    <row r="14" customFormat="false" ht="15" hidden="false" customHeight="false" outlineLevel="0" collapsed="false">
      <c r="A14" s="14" t="s">
        <v>706</v>
      </c>
      <c r="C14" s="18" t="n">
        <f aca="false">C_Benefits!C12*Scenarios!$C$12</f>
        <v>9142.64225947921</v>
      </c>
      <c r="D14" s="18" t="n">
        <f aca="false">C_Benefits!D12*Scenarios!$C$12</f>
        <v>26180.0604977659</v>
      </c>
      <c r="E14" s="18" t="n">
        <f aca="false">C_Benefits!E12*Scenarios!$C$12</f>
        <v>42841.0599234103</v>
      </c>
      <c r="F14" s="18" t="n">
        <f aca="false">C_Benefits!F12*Scenarios!$C$12</f>
        <v>60695.2831502542</v>
      </c>
      <c r="G14" s="18" t="n">
        <f aca="false">C_Benefits!G12*Scenarios!$C$12</f>
        <v>75875.8042622044</v>
      </c>
    </row>
    <row r="15" customFormat="false" ht="15" hidden="false" customHeight="false" outlineLevel="0" collapsed="false">
      <c r="A15" s="14" t="s">
        <v>707</v>
      </c>
      <c r="C15" s="18" t="n">
        <f aca="false">(C_Pricing_Income!C8+C_Pricing_Income!C11)*Scenarios!$C$12-C_Pricing_Income!C26</f>
        <v>0</v>
      </c>
      <c r="D15" s="18" t="n">
        <f aca="false">(C_Pricing_Income!D8+C_Pricing_Income!D11)*Scenarios!$C$12-C_Pricing_Income!D26</f>
        <v>41112.1917577615</v>
      </c>
      <c r="E15" s="18" t="n">
        <f aca="false">(C_Pricing_Income!E8+C_Pricing_Income!E11)*Scenarios!$C$12-C_Pricing_Income!E26</f>
        <v>35787.4040706511</v>
      </c>
      <c r="F15" s="18" t="n">
        <f aca="false">(C_Pricing_Income!F8+C_Pricing_Income!F11)*Scenarios!$C$12-C_Pricing_Income!F26</f>
        <v>40028.637738356</v>
      </c>
      <c r="G15" s="18" t="n">
        <f aca="false">(C_Pricing_Income!G8+C_Pricing_Income!G11)*Scenarios!$C$12-C_Pricing_Income!G26</f>
        <v>42403.2746694144</v>
      </c>
    </row>
    <row r="16" customFormat="false" ht="15" hidden="false" customHeight="false" outlineLevel="0" collapsed="false">
      <c r="A16" s="22" t="s">
        <v>708</v>
      </c>
      <c r="C16" s="75" t="n">
        <f aca="false">C14-C15</f>
        <v>9142.64225947921</v>
      </c>
      <c r="D16" s="75" t="n">
        <f aca="false">D14-D15</f>
        <v>-14932.1312599956</v>
      </c>
      <c r="E16" s="75" t="n">
        <f aca="false">E14-E15</f>
        <v>7053.65585275925</v>
      </c>
      <c r="F16" s="75" t="n">
        <f aca="false">F14-F15</f>
        <v>20666.6454118982</v>
      </c>
      <c r="G16" s="75" t="n">
        <f aca="false">G14-G15</f>
        <v>33472.52959279</v>
      </c>
    </row>
    <row r="17" customFormat="false" ht="15" hidden="false" customHeight="false" outlineLevel="0" collapsed="false">
      <c r="A17" s="14" t="s">
        <v>710</v>
      </c>
      <c r="C17" s="53" t="n">
        <f aca="false">C_Benefits!C10*Scenarios!$C$12-C15</f>
        <v>9142.64225947921</v>
      </c>
      <c r="D17" s="53" t="n">
        <f aca="false">C_Benefits!D10*Scenarios!$C$12-D15</f>
        <v>-14932.1312599956</v>
      </c>
      <c r="E17" s="53" t="n">
        <f aca="false">C_Benefits!E10*Scenarios!$C$12-E15</f>
        <v>7053.65585275925</v>
      </c>
      <c r="F17" s="53" t="n">
        <f aca="false">C_Benefits!F10*Scenarios!$C$12-F15</f>
        <v>20666.6454118982</v>
      </c>
      <c r="G17" s="53" t="n">
        <f aca="false">C_Benefits!G10*Scenarios!$C$12-G15</f>
        <v>33472.52959279</v>
      </c>
    </row>
    <row r="19" customFormat="false" ht="15" hidden="false" customHeight="false" outlineLevel="0" collapsed="false">
      <c r="A19" s="40" t="s">
        <v>713</v>
      </c>
      <c r="B19" s="41"/>
      <c r="C19" s="41"/>
      <c r="D19" s="41"/>
      <c r="E19" s="41"/>
      <c r="F19" s="41"/>
      <c r="G19" s="41"/>
    </row>
    <row r="20" customFormat="false" ht="15" hidden="false" customHeight="false" outlineLevel="0" collapsed="false">
      <c r="A20" s="22" t="s">
        <v>714</v>
      </c>
      <c r="C20" s="87" t="str">
        <f aca="false">IF(C8&gt;0,"YES","NO")</f>
        <v>YES</v>
      </c>
      <c r="D20" s="87"/>
      <c r="E20" s="87"/>
      <c r="F20" s="87"/>
      <c r="G20" s="87"/>
    </row>
    <row r="21" customFormat="false" ht="15" hidden="false" customHeight="false" outlineLevel="0" collapsed="false">
      <c r="A21" s="22" t="s">
        <v>715</v>
      </c>
      <c r="C21" s="87" t="str">
        <f aca="false">IF(C16&gt;0,"YES","NO")</f>
        <v>YES</v>
      </c>
      <c r="D21" s="87"/>
      <c r="E21" s="87"/>
      <c r="F21" s="87"/>
      <c r="G21" s="87"/>
    </row>
    <row r="23" customFormat="false" ht="15" hidden="false" customHeight="false" outlineLevel="0" collapsed="false">
      <c r="A23" s="57" t="s">
        <v>716</v>
      </c>
      <c r="B23" s="58"/>
      <c r="C23" s="58"/>
      <c r="D23" s="58"/>
      <c r="E23" s="58"/>
      <c r="F23" s="58"/>
      <c r="G23" s="58"/>
    </row>
    <row r="24" customFormat="false" ht="15" hidden="false" customHeight="false" outlineLevel="0" collapsed="false">
      <c r="A24" s="77" t="s">
        <v>717</v>
      </c>
      <c r="C24" s="18" t="n">
        <f aca="false">C_Pricing_Income!C25</f>
        <v>20000</v>
      </c>
      <c r="D24" s="18" t="n">
        <f aca="false">C_Pricing_Income!D25</f>
        <v>34260.1597981346</v>
      </c>
      <c r="E24" s="18" t="n">
        <f aca="false">C_Pricing_Income!E25</f>
        <v>29822.8367255425</v>
      </c>
      <c r="F24" s="18" t="n">
        <f aca="false">C_Pricing_Income!F25</f>
        <v>33357.1981152967</v>
      </c>
      <c r="G24" s="18" t="n">
        <f aca="false">C_Pricing_Income!G25</f>
        <v>35336.062224512</v>
      </c>
    </row>
    <row r="25" customFormat="false" ht="15" hidden="false" customHeight="false" outlineLevel="0" collapsed="false">
      <c r="A25" s="57" t="s">
        <v>718</v>
      </c>
      <c r="C25" s="76" t="n">
        <f aca="false">C_Benefits!C10+MIN(C_Benefits!C11,C_Benefits!C32)-C7</f>
        <v>22856.605648698</v>
      </c>
      <c r="D25" s="76" t="n">
        <f aca="false">C_Benefits!D10+MIN(C_Benefits!D11,C_Benefits!D32)-D7</f>
        <v>-37330.328149989</v>
      </c>
      <c r="E25" s="76" t="n">
        <f aca="false">C_Benefits!E10+MIN(C_Benefits!E11,C_Benefits!E32)-E7</f>
        <v>17634.1396318981</v>
      </c>
      <c r="F25" s="76" t="n">
        <f aca="false">C_Benefits!F10+MIN(C_Benefits!F11,C_Benefits!F32)-F7</f>
        <v>51666.6135297456</v>
      </c>
      <c r="G25" s="76" t="n">
        <f aca="false">C_Benefits!G10+MIN(C_Benefits!G11,C_Benefits!G32)-G7</f>
        <v>83681.3239819749</v>
      </c>
    </row>
    <row r="26" customFormat="false" ht="15" hidden="false" customHeight="false" outlineLevel="0" collapsed="false">
      <c r="A26" s="77" t="s">
        <v>719</v>
      </c>
      <c r="C26" s="18" t="n">
        <f aca="false">C_Pricing_Income!C26</f>
        <v>8000</v>
      </c>
      <c r="D26" s="18" t="n">
        <f aca="false">C_Pricing_Income!D26</f>
        <v>13704.0639192538</v>
      </c>
      <c r="E26" s="18" t="n">
        <f aca="false">C_Pricing_Income!E26</f>
        <v>11929.134690217</v>
      </c>
      <c r="F26" s="18" t="n">
        <f aca="false">C_Pricing_Income!F26</f>
        <v>13342.8792461187</v>
      </c>
      <c r="G26" s="18" t="n">
        <f aca="false">C_Pricing_Income!G26</f>
        <v>14134.4248898048</v>
      </c>
    </row>
    <row r="27" customFormat="false" ht="15" hidden="false" customHeight="false" outlineLevel="0" collapsed="false">
      <c r="A27" s="57" t="s">
        <v>720</v>
      </c>
      <c r="C27" s="87" t="str">
        <f aca="false">IF(C10&gt;0,"YES","NO")</f>
        <v>YES</v>
      </c>
      <c r="D27" s="87"/>
      <c r="E27" s="87"/>
      <c r="F27" s="87"/>
      <c r="G27" s="87"/>
    </row>
    <row r="28" customFormat="false" ht="15" hidden="false" customHeight="false" outlineLevel="0" collapsed="false">
      <c r="A28" s="57" t="s">
        <v>721</v>
      </c>
      <c r="C28" s="87" t="str">
        <f aca="false">IF(C17&gt;0,"YES","NO")</f>
        <v>YES</v>
      </c>
      <c r="D28" s="87"/>
      <c r="E28" s="87"/>
      <c r="F28" s="87"/>
      <c r="G28" s="8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6"/>
    <col collapsed="false" customWidth="true" hidden="false" outlineLevel="0" max="7" min="3" style="0" width="14"/>
  </cols>
  <sheetData>
    <row r="1" customFormat="false" ht="17.35" hidden="false" customHeight="false" outlineLevel="0" collapsed="false">
      <c r="A1" s="1" t="s">
        <v>871</v>
      </c>
    </row>
    <row r="2" customFormat="false" ht="15" hidden="false" customHeight="false" outlineLevel="0" collapsed="false">
      <c r="A2" s="2" t="s">
        <v>777</v>
      </c>
    </row>
    <row r="4" customFormat="false" ht="15" hidden="false" customHeight="false" outlineLevel="0" collapsed="false">
      <c r="A4" s="15" t="s">
        <v>778</v>
      </c>
      <c r="B4" s="16" t="s">
        <v>614</v>
      </c>
      <c r="C4" s="16" t="s">
        <v>448</v>
      </c>
      <c r="D4" s="16" t="s">
        <v>449</v>
      </c>
      <c r="E4" s="16" t="s">
        <v>450</v>
      </c>
      <c r="F4" s="16" t="s">
        <v>451</v>
      </c>
      <c r="G4" s="16" t="s">
        <v>452</v>
      </c>
    </row>
    <row r="5" customFormat="false" ht="15" hidden="false" customHeight="false" outlineLevel="0" collapsed="false">
      <c r="A5" s="14" t="s">
        <v>779</v>
      </c>
      <c r="B5" s="67" t="s">
        <v>780</v>
      </c>
      <c r="C5" s="18" t="n">
        <f aca="false">C_Benefits!C20</f>
        <v>1</v>
      </c>
      <c r="D5" s="18" t="n">
        <f aca="false">C_Benefits!D20</f>
        <v>2</v>
      </c>
      <c r="E5" s="18" t="n">
        <f aca="false">C_Benefits!E20</f>
        <v>4</v>
      </c>
      <c r="F5" s="18" t="n">
        <f aca="false">C_Benefits!F20</f>
        <v>6</v>
      </c>
      <c r="G5" s="18" t="n">
        <f aca="false">C_Benefits!G20</f>
        <v>8</v>
      </c>
    </row>
    <row r="6" customFormat="false" ht="15" hidden="false" customHeight="false" outlineLevel="0" collapsed="false">
      <c r="A6" s="14" t="s">
        <v>781</v>
      </c>
      <c r="B6" s="67" t="s">
        <v>782</v>
      </c>
      <c r="C6" s="53" t="n">
        <f aca="false">Assumptions!$B$44*Assumptions!$B$45*12*(1+Assumptions!$B$46)*Assumptions!$B$84</f>
        <v>55176</v>
      </c>
      <c r="D6" s="53" t="n">
        <f aca="false">Assumptions!$B$44*Assumptions!$B$45*12*(1+Assumptions!$B$46)</f>
        <v>110352</v>
      </c>
      <c r="E6" s="53" t="n">
        <f aca="false">Assumptions!$B$44*Assumptions!$B$45*12*(1+Assumptions!$B$46)</f>
        <v>110352</v>
      </c>
      <c r="F6" s="53" t="n">
        <f aca="false">Assumptions!$B$44*Assumptions!$B$45*12*(1+Assumptions!$B$46)</f>
        <v>110352</v>
      </c>
      <c r="G6" s="53" t="n">
        <f aca="false">Assumptions!$B$44*Assumptions!$B$45*12*(1+Assumptions!$B$46)</f>
        <v>110352</v>
      </c>
    </row>
    <row r="7" customFormat="false" ht="15" hidden="false" customHeight="false" outlineLevel="0" collapsed="false">
      <c r="A7" s="14" t="s">
        <v>783</v>
      </c>
      <c r="B7" s="67" t="s">
        <v>784</v>
      </c>
      <c r="C7" s="53" t="n">
        <f aca="false">Assumptions!$B$47*Assumptions!$B$48*Assumptions!$B$85</f>
        <v>29400</v>
      </c>
      <c r="D7" s="53" t="n">
        <f aca="false">0</f>
        <v>0</v>
      </c>
      <c r="E7" s="53" t="n">
        <f aca="false">0</f>
        <v>0</v>
      </c>
      <c r="F7" s="53" t="n">
        <f aca="false">0</f>
        <v>0</v>
      </c>
      <c r="G7" s="53" t="n">
        <f aca="false">0</f>
        <v>0</v>
      </c>
    </row>
    <row r="8" customFormat="false" ht="15" hidden="false" customHeight="false" outlineLevel="0" collapsed="false">
      <c r="A8" s="14" t="s">
        <v>785</v>
      </c>
      <c r="B8" s="67" t="s">
        <v>786</v>
      </c>
      <c r="C8" s="53" t="n">
        <f aca="false">Yearly_Inputs!$B$11*Assumptions!$B$48*12*(1+Assumptions!$B$46)</f>
        <v>0</v>
      </c>
      <c r="D8" s="53" t="n">
        <f aca="false">Yearly_Inputs!$C$11*Assumptions!$B$48*12*(1+Assumptions!$B$46)</f>
        <v>0</v>
      </c>
      <c r="E8" s="53" t="n">
        <f aca="false">Scenarios!$C$14*Assumptions!$B$48*12*(1+Assumptions!$B$46)</f>
        <v>0</v>
      </c>
      <c r="F8" s="53" t="n">
        <f aca="false">Yearly_Inputs!$E$11*Assumptions!$B$48*12*(1+Assumptions!$B$46)</f>
        <v>96558</v>
      </c>
      <c r="G8" s="53" t="n">
        <f aca="false">Yearly_Inputs!$F$11*Assumptions!$B$48*12*(1+Assumptions!$B$46)</f>
        <v>193116</v>
      </c>
    </row>
    <row r="9" customFormat="false" ht="15" hidden="false" customHeight="false" outlineLevel="0" collapsed="false">
      <c r="A9" s="14" t="s">
        <v>787</v>
      </c>
      <c r="B9" s="67" t="s">
        <v>788</v>
      </c>
      <c r="C9" s="53" t="n">
        <f aca="false">Yearly_Inputs!$B$12</f>
        <v>0</v>
      </c>
      <c r="D9" s="53" t="n">
        <f aca="false">Yearly_Inputs!$C$12</f>
        <v>18000</v>
      </c>
      <c r="E9" s="53" t="n">
        <f aca="false">Yearly_Inputs!$D$12</f>
        <v>36000</v>
      </c>
      <c r="F9" s="53" t="n">
        <f aca="false">Yearly_Inputs!$E$12</f>
        <v>36000</v>
      </c>
      <c r="G9" s="53" t="n">
        <f aca="false">Yearly_Inputs!$F$12</f>
        <v>48000</v>
      </c>
    </row>
    <row r="10" customFormat="false" ht="15" hidden="false" customHeight="false" outlineLevel="0" collapsed="false">
      <c r="A10" s="14" t="s">
        <v>789</v>
      </c>
      <c r="B10" s="67" t="s">
        <v>790</v>
      </c>
      <c r="C10" s="53" t="n">
        <f aca="false">(C5*Assumptions!$B$49+Assumptions!$B$51*Assumptions!$B$50)*12*Assumptions!$B$52</f>
        <v>3432</v>
      </c>
      <c r="D10" s="53" t="n">
        <f aca="false">(D5*Assumptions!$B$49+Assumptions!$B$51*Assumptions!$B$50)*12*Assumptions!$B$52</f>
        <v>4752</v>
      </c>
      <c r="E10" s="53" t="n">
        <f aca="false">(E5*Assumptions!$B$49+Assumptions!$B$51*Assumptions!$B$50)*12*Assumptions!$B$52</f>
        <v>7392</v>
      </c>
      <c r="F10" s="53" t="n">
        <f aca="false">(F5*Assumptions!$B$49+Assumptions!$B$51*Assumptions!$B$50)*12*Assumptions!$B$52</f>
        <v>10032</v>
      </c>
      <c r="G10" s="53" t="n">
        <f aca="false">(G5*Assumptions!$B$49+Assumptions!$B$51*Assumptions!$B$50)*12*Assumptions!$B$52</f>
        <v>12672</v>
      </c>
    </row>
    <row r="11" customFormat="false" ht="15" hidden="false" customHeight="false" outlineLevel="0" collapsed="false">
      <c r="A11" s="14" t="s">
        <v>791</v>
      </c>
      <c r="B11" s="67" t="s">
        <v>792</v>
      </c>
      <c r="C11" s="53" t="n">
        <f aca="false">Assumptions!$B$53</f>
        <v>15000</v>
      </c>
      <c r="D11" s="53" t="n">
        <f aca="false">Assumptions!$B$54</f>
        <v>8000</v>
      </c>
      <c r="E11" s="53" t="n">
        <f aca="false">Assumptions!$B$54</f>
        <v>8000</v>
      </c>
      <c r="F11" s="53" t="n">
        <f aca="false">Assumptions!$B$54</f>
        <v>8000</v>
      </c>
      <c r="G11" s="53" t="n">
        <f aca="false">Assumptions!$B$54</f>
        <v>8000</v>
      </c>
    </row>
    <row r="12" customFormat="false" ht="15" hidden="false" customHeight="false" outlineLevel="0" collapsed="false">
      <c r="A12" s="14" t="s">
        <v>793</v>
      </c>
      <c r="B12" s="67" t="s">
        <v>794</v>
      </c>
      <c r="C12" s="53" t="n">
        <f aca="false">Assumptions!$B$55</f>
        <v>15000</v>
      </c>
      <c r="D12" s="53" t="n">
        <f aca="false">Assumptions!$B$56</f>
        <v>5000</v>
      </c>
      <c r="E12" s="53" t="n">
        <f aca="false">Assumptions!$B$56</f>
        <v>5000</v>
      </c>
      <c r="F12" s="53" t="n">
        <f aca="false">Assumptions!$B$56</f>
        <v>5000</v>
      </c>
      <c r="G12" s="53" t="n">
        <f aca="false">Assumptions!$B$56</f>
        <v>5000</v>
      </c>
    </row>
    <row r="13" customFormat="false" ht="15" hidden="false" customHeight="false" outlineLevel="0" collapsed="false">
      <c r="A13" s="14" t="s">
        <v>795</v>
      </c>
      <c r="B13" s="67" t="s">
        <v>796</v>
      </c>
      <c r="C13" s="53" t="n">
        <f aca="false">Yearly_Inputs!$B$9*Assumptions!$B$57</f>
        <v>8000</v>
      </c>
      <c r="D13" s="53" t="n">
        <f aca="false">Scenarios!$C$8*Assumptions!$B$86</f>
        <v>5000</v>
      </c>
      <c r="E13" s="53" t="n">
        <f aca="false">Yearly_Inputs!$D$9*Assumptions!$B$86</f>
        <v>10000</v>
      </c>
      <c r="F13" s="53" t="n">
        <f aca="false">Yearly_Inputs!$E$9*Assumptions!$B$86</f>
        <v>10000</v>
      </c>
      <c r="G13" s="53" t="n">
        <f aca="false">Yearly_Inputs!$F$9*Assumptions!$B$86</f>
        <v>10000</v>
      </c>
    </row>
    <row r="14" customFormat="false" ht="15" hidden="false" customHeight="false" outlineLevel="0" collapsed="false">
      <c r="A14" s="22" t="s">
        <v>797</v>
      </c>
      <c r="B14" s="67"/>
      <c r="C14" s="75" t="n">
        <f aca="false">SUM(C6:C13)</f>
        <v>126008</v>
      </c>
      <c r="D14" s="75" t="n">
        <f aca="false">SUM(D6:D13)</f>
        <v>151104</v>
      </c>
      <c r="E14" s="75" t="n">
        <f aca="false">SUM(E6:E13)</f>
        <v>176744</v>
      </c>
      <c r="F14" s="75" t="n">
        <f aca="false">SUM(F6:F13)</f>
        <v>275942</v>
      </c>
      <c r="G14" s="75" t="n">
        <f aca="false">SUM(G6:G13)</f>
        <v>387140</v>
      </c>
    </row>
    <row r="16" customFormat="false" ht="15" hidden="false" customHeight="false" outlineLevel="0" collapsed="false">
      <c r="A16" s="57" t="s">
        <v>798</v>
      </c>
      <c r="B16" s="58"/>
      <c r="C16" s="58"/>
      <c r="D16" s="58"/>
      <c r="E16" s="58"/>
      <c r="F16" s="58"/>
      <c r="G16" s="58"/>
    </row>
    <row r="17" customFormat="false" ht="15" hidden="false" customHeight="false" outlineLevel="0" collapsed="false">
      <c r="A17" s="77" t="s">
        <v>799</v>
      </c>
      <c r="B17" s="67" t="s">
        <v>800</v>
      </c>
      <c r="C17" s="53" t="n">
        <f aca="false">Assumptions!$B$44*Assumptions!$B$45*12*(1-Assumptions!$B$84)</f>
        <v>48000</v>
      </c>
      <c r="D17" s="53" t="n">
        <f aca="false">0</f>
        <v>0</v>
      </c>
      <c r="E17" s="53" t="n">
        <f aca="false">0</f>
        <v>0</v>
      </c>
      <c r="F17" s="53" t="n">
        <f aca="false">0</f>
        <v>0</v>
      </c>
      <c r="G17" s="53" t="n">
        <f aca="false">0</f>
        <v>0</v>
      </c>
    </row>
    <row r="18" customFormat="false" ht="15" hidden="false" customHeight="false" outlineLevel="0" collapsed="false">
      <c r="A18" s="77" t="s">
        <v>801</v>
      </c>
      <c r="B18" s="67" t="s">
        <v>802</v>
      </c>
      <c r="C18" s="53" t="n">
        <f aca="false">Assumptions!$B$47*Assumptions!$B$48*(1-Assumptions!$B$85)</f>
        <v>12600</v>
      </c>
      <c r="D18" s="53" t="n">
        <f aca="false">0</f>
        <v>0</v>
      </c>
      <c r="E18" s="53" t="n">
        <f aca="false">0</f>
        <v>0</v>
      </c>
      <c r="F18" s="53" t="n">
        <f aca="false">0</f>
        <v>0</v>
      </c>
      <c r="G18" s="53" t="n">
        <f aca="false">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"/>
    <col collapsed="false" customWidth="true" hidden="false" outlineLevel="0" max="8" min="3" style="0" width="14"/>
  </cols>
  <sheetData>
    <row r="1" customFormat="false" ht="17.35" hidden="false" customHeight="false" outlineLevel="0" collapsed="false">
      <c r="A1" s="1" t="s">
        <v>872</v>
      </c>
    </row>
    <row r="4" customFormat="false" ht="15" hidden="false" customHeight="false" outlineLevel="0" collapsed="false">
      <c r="A4" s="15" t="s">
        <v>447</v>
      </c>
      <c r="B4" s="16"/>
      <c r="C4" s="16" t="s">
        <v>377</v>
      </c>
      <c r="D4" s="16" t="s">
        <v>378</v>
      </c>
      <c r="E4" s="16" t="s">
        <v>379</v>
      </c>
      <c r="F4" s="16" t="s">
        <v>380</v>
      </c>
      <c r="G4" s="16" t="s">
        <v>381</v>
      </c>
      <c r="H4" s="16" t="s">
        <v>804</v>
      </c>
    </row>
    <row r="5" customFormat="false" ht="15" hidden="false" customHeight="false" outlineLevel="0" collapsed="false">
      <c r="A5" s="14" t="s">
        <v>805</v>
      </c>
      <c r="C5" s="18" t="n">
        <f aca="false">C_Benefits!C20</f>
        <v>1</v>
      </c>
      <c r="D5" s="18" t="n">
        <f aca="false">C_Benefits!D20</f>
        <v>2</v>
      </c>
      <c r="E5" s="18" t="n">
        <f aca="false">C_Benefits!E20</f>
        <v>4</v>
      </c>
      <c r="F5" s="18" t="n">
        <f aca="false">C_Benefits!F20</f>
        <v>6</v>
      </c>
      <c r="G5" s="18" t="n">
        <f aca="false">C_Benefits!G20</f>
        <v>8</v>
      </c>
    </row>
    <row r="6" customFormat="false" ht="15" hidden="false" customHeight="false" outlineLevel="0" collapsed="false">
      <c r="A6" s="14" t="s">
        <v>806</v>
      </c>
      <c r="C6" s="18" t="n">
        <f aca="false">C_Benefits!C23</f>
        <v>22856.605648698</v>
      </c>
      <c r="D6" s="18" t="n">
        <f aca="false">C_Benefits!D23</f>
        <v>74592.7935038941</v>
      </c>
      <c r="E6" s="18" t="n">
        <f aca="false">C_Benefits!E23</f>
        <v>151567.99482525</v>
      </c>
      <c r="F6" s="18" t="n">
        <f aca="false">C_Benefits!F23</f>
        <v>265224.673313536</v>
      </c>
      <c r="G6" s="18" t="n">
        <f aca="false">C_Benefits!G23</f>
        <v>406712.319167076</v>
      </c>
      <c r="H6" s="76" t="n">
        <f aca="false">SUM(C6:G6)</f>
        <v>920954.386458454</v>
      </c>
    </row>
    <row r="7" customFormat="false" ht="15" hidden="false" customHeight="false" outlineLevel="0" collapsed="false">
      <c r="A7" s="14" t="s">
        <v>807</v>
      </c>
      <c r="C7" s="18" t="n">
        <f aca="false">C_Pricing_Income!C18</f>
        <v>0</v>
      </c>
      <c r="D7" s="18" t="n">
        <f aca="false">C_Pricing_Income!D18</f>
        <v>102780.479394404</v>
      </c>
      <c r="E7" s="18" t="n">
        <f aca="false">C_Pricing_Income!E18</f>
        <v>130580.701934389</v>
      </c>
      <c r="F7" s="18" t="n">
        <f aca="false">C_Pricing_Income!F18</f>
        <v>218083.381932064</v>
      </c>
      <c r="G7" s="18" t="n">
        <f aca="false">C_Pricing_Income!G18</f>
        <v>299836.016068717</v>
      </c>
      <c r="H7" s="76" t="n">
        <f aca="false">SUM(C7:G7)</f>
        <v>751280.579329574</v>
      </c>
    </row>
    <row r="8" customFormat="false" ht="15" hidden="false" customHeight="false" outlineLevel="0" collapsed="false">
      <c r="A8" s="14" t="s">
        <v>808</v>
      </c>
      <c r="C8" s="18" t="n">
        <f aca="false">C_Pricing_Income!C20</f>
        <v>18411.7164751136</v>
      </c>
      <c r="D8" s="18" t="n">
        <f aca="false">C_Pricing_Income!D20</f>
        <v>156137.955512572</v>
      </c>
      <c r="E8" s="18" t="n">
        <f aca="false">C_Pricing_Income!E20</f>
        <v>223852.152229117</v>
      </c>
      <c r="F8" s="18" t="n">
        <f aca="false">C_Pricing_Income!F20</f>
        <v>359589.02157361</v>
      </c>
      <c r="G8" s="18" t="n">
        <f aca="false">C_Pricing_Income!G20</f>
        <v>490119.067889564</v>
      </c>
      <c r="H8" s="76" t="n">
        <f aca="false">SUM(C8:G8)</f>
        <v>1248109.91367998</v>
      </c>
    </row>
    <row r="9" customFormat="false" ht="15" hidden="false" customHeight="false" outlineLevel="0" collapsed="false">
      <c r="A9" s="14" t="s">
        <v>809</v>
      </c>
      <c r="C9" s="18" t="n">
        <f aca="false">C_Spendings!C14</f>
        <v>126008</v>
      </c>
      <c r="D9" s="18" t="n">
        <f aca="false">C_Spendings!D14</f>
        <v>151104</v>
      </c>
      <c r="E9" s="18" t="n">
        <f aca="false">C_Spendings!E14</f>
        <v>176744</v>
      </c>
      <c r="F9" s="18" t="n">
        <f aca="false">C_Spendings!F14</f>
        <v>275942</v>
      </c>
      <c r="G9" s="18" t="n">
        <f aca="false">C_Spendings!G14</f>
        <v>387140</v>
      </c>
      <c r="H9" s="76" t="n">
        <f aca="false">SUM(C9:G9)</f>
        <v>1116938</v>
      </c>
    </row>
    <row r="10" customFormat="false" ht="15" hidden="false" customHeight="false" outlineLevel="0" collapsed="false">
      <c r="A10" s="22" t="s">
        <v>810</v>
      </c>
      <c r="C10" s="75" t="n">
        <f aca="false">C8-C9</f>
        <v>-107596.283524886</v>
      </c>
      <c r="D10" s="75" t="n">
        <f aca="false">D8-D9</f>
        <v>5033.9555125722</v>
      </c>
      <c r="E10" s="75" t="n">
        <f aca="false">E8-E9</f>
        <v>47108.1522291173</v>
      </c>
      <c r="F10" s="75" t="n">
        <f aca="false">F8-F9</f>
        <v>83647.0215736097</v>
      </c>
      <c r="G10" s="75" t="n">
        <f aca="false">G8-G9</f>
        <v>102979.067889564</v>
      </c>
      <c r="H10" s="76" t="n">
        <f aca="false">SUM(C10:G10)</f>
        <v>131171.913679976</v>
      </c>
    </row>
    <row r="11" customFormat="false" ht="15" hidden="false" customHeight="false" outlineLevel="0" collapsed="false">
      <c r="A11" s="22" t="s">
        <v>811</v>
      </c>
      <c r="C11" s="76" t="n">
        <f aca="false">C10</f>
        <v>-107596.283524886</v>
      </c>
      <c r="D11" s="76" t="n">
        <f aca="false">C11+D10</f>
        <v>-102562.328012314</v>
      </c>
      <c r="E11" s="76" t="n">
        <f aca="false">D11+E10</f>
        <v>-55454.1757831969</v>
      </c>
      <c r="F11" s="76" t="n">
        <f aca="false">E11+F10</f>
        <v>28192.8457904128</v>
      </c>
      <c r="G11" s="76" t="n">
        <f aca="false">F11+G10</f>
        <v>131171.913679976</v>
      </c>
    </row>
    <row r="12" customFormat="false" ht="15" hidden="false" customHeight="false" outlineLevel="0" collapsed="false">
      <c r="A12" s="14" t="s">
        <v>812</v>
      </c>
      <c r="C12" s="50" t="n">
        <f aca="false">IF(C8&lt;=0,"n/a",C10/C8)</f>
        <v>-5.8439029120571</v>
      </c>
      <c r="D12" s="50" t="n">
        <f aca="false">IF(D8&lt;=0,"n/a",D10/D8)</f>
        <v>0.0322404344033239</v>
      </c>
      <c r="E12" s="50" t="n">
        <f aca="false">IF(E8&lt;=0,"n/a",E10/E8)</f>
        <v>0.210443150802951</v>
      </c>
      <c r="F12" s="50" t="n">
        <f aca="false">IF(F8&lt;=0,"n/a",F10/F8)</f>
        <v>0.232618396433682</v>
      </c>
      <c r="G12" s="50" t="n">
        <f aca="false">IF(G8&lt;=0,"n/a",G10/G8)</f>
        <v>0.210110307140239</v>
      </c>
    </row>
    <row r="13" customFormat="false" ht="15" hidden="false" customHeight="false" outlineLevel="0" collapsed="false">
      <c r="A13" s="22" t="s">
        <v>813</v>
      </c>
      <c r="C13" s="76" t="n">
        <f aca="false">C6-C7</f>
        <v>22856.605648698</v>
      </c>
      <c r="D13" s="76" t="n">
        <f aca="false">D6-D7</f>
        <v>-28187.6858905098</v>
      </c>
      <c r="E13" s="76" t="n">
        <f aca="false">E6-E7</f>
        <v>20987.292890861</v>
      </c>
      <c r="F13" s="76" t="n">
        <f aca="false">F6-F7</f>
        <v>47141.2913814721</v>
      </c>
      <c r="G13" s="76" t="n">
        <f aca="false">G6-G7</f>
        <v>106876.303098359</v>
      </c>
      <c r="H13" s="76" t="n">
        <f aca="false">SUM(C13:G13)</f>
        <v>169673.80712888</v>
      </c>
    </row>
    <row r="15" customFormat="false" ht="15" hidden="false" customHeight="false" outlineLevel="0" collapsed="false">
      <c r="A15" s="40" t="s">
        <v>814</v>
      </c>
      <c r="B15" s="41"/>
      <c r="C15" s="41"/>
      <c r="D15" s="41"/>
      <c r="E15" s="41"/>
      <c r="F15" s="41"/>
      <c r="G15" s="41"/>
      <c r="H15" s="41"/>
    </row>
    <row r="16" customFormat="false" ht="15" hidden="false" customHeight="false" outlineLevel="0" collapsed="false">
      <c r="A16" s="14" t="s">
        <v>815</v>
      </c>
      <c r="C16" s="82" t="n">
        <f aca="false">(H8-H9)/H9</f>
        <v>0.117438849497444</v>
      </c>
      <c r="D16" s="67" t="s">
        <v>816</v>
      </c>
    </row>
    <row r="17" customFormat="false" ht="15" hidden="false" customHeight="false" outlineLevel="0" collapsed="false">
      <c r="A17" s="14" t="s">
        <v>817</v>
      </c>
      <c r="C17" s="82" t="n">
        <f aca="false">(H6-H7)/H7</f>
        <v>0.225846124333858</v>
      </c>
      <c r="D17" s="67" t="s">
        <v>818</v>
      </c>
    </row>
    <row r="18" customFormat="false" ht="15" hidden="false" customHeight="false" outlineLevel="0" collapsed="false">
      <c r="A18" s="14" t="s">
        <v>819</v>
      </c>
      <c r="C18" s="87" t="str">
        <f aca="false">IF(C10&gt;0,"Y1",IF(D10&gt;0,"Y2",IF(E10&gt;0,"Y3",IF(F10&gt;0,"Y4",IF(G10&gt;0,"Y5","Not in 5 yrs")))))</f>
        <v>Y2</v>
      </c>
      <c r="D18" s="67"/>
    </row>
    <row r="19" customFormat="false" ht="15" hidden="false" customHeight="false" outlineLevel="0" collapsed="false">
      <c r="A19" s="14" t="s">
        <v>820</v>
      </c>
      <c r="C19" s="87" t="str">
        <f aca="false">IF(C11&gt;0,"Y1",IF(D11&gt;0,"Y2",IF(E11&gt;0,"Y3",IF(F11&gt;0,"Y4",IF(G11&gt;0,"Y5","Not in 5 yrs")))))</f>
        <v>Y4</v>
      </c>
      <c r="D19" s="67"/>
    </row>
    <row r="20" customFormat="false" ht="15" hidden="false" customHeight="false" outlineLevel="0" collapsed="false">
      <c r="A20" s="14" t="s">
        <v>821</v>
      </c>
      <c r="C20" s="87" t="str">
        <f aca="false">IF(C10&lt;0,"YES","NO")</f>
        <v>YES</v>
      </c>
      <c r="D20" s="67"/>
    </row>
    <row r="21" customFormat="false" ht="15" hidden="false" customHeight="false" outlineLevel="0" collapsed="false">
      <c r="A21" s="14" t="s">
        <v>822</v>
      </c>
      <c r="C21" s="87" t="str">
        <f aca="false">IF(AND(D10&gt;0,E10&gt;0,F10&gt;0,G10&gt;0),"YES","NO")</f>
        <v>YES</v>
      </c>
      <c r="D21" s="67"/>
    </row>
    <row r="22" customFormat="false" ht="15" hidden="false" customHeight="false" outlineLevel="0" collapsed="false">
      <c r="A22" s="14" t="s">
        <v>823</v>
      </c>
      <c r="C22" s="87" t="str">
        <f aca="false">C_Customer_ROI!C20</f>
        <v>YES</v>
      </c>
      <c r="D22" s="67"/>
    </row>
    <row r="24" customFormat="false" ht="15" hidden="false" customHeight="false" outlineLevel="0" collapsed="false">
      <c r="A24" s="40" t="s">
        <v>824</v>
      </c>
      <c r="B24" s="41"/>
      <c r="C24" s="41"/>
      <c r="D24" s="41"/>
      <c r="E24" s="41"/>
      <c r="F24" s="41"/>
      <c r="G24" s="41"/>
      <c r="H24" s="41"/>
    </row>
    <row r="25" customFormat="false" ht="15" hidden="false" customHeight="false" outlineLevel="0" collapsed="false">
      <c r="A25" s="15" t="s">
        <v>825</v>
      </c>
      <c r="B25" s="16"/>
      <c r="C25" s="16" t="s">
        <v>826</v>
      </c>
      <c r="D25" s="16" t="s">
        <v>827</v>
      </c>
      <c r="E25" s="16" t="s">
        <v>828</v>
      </c>
    </row>
    <row r="26" customFormat="false" ht="15" hidden="false" customHeight="false" outlineLevel="0" collapsed="false">
      <c r="A26" s="14" t="s">
        <v>377</v>
      </c>
      <c r="C26" s="92" t="n">
        <f aca="false">C10</f>
        <v>-107596.283524886</v>
      </c>
      <c r="D26" s="93" t="n">
        <f aca="false">1/(1+Scenarios!$C$10)^1</f>
        <v>0.833333333333333</v>
      </c>
      <c r="E26" s="92" t="n">
        <f aca="false">C26*D26</f>
        <v>-89663.569604072</v>
      </c>
    </row>
    <row r="27" customFormat="false" ht="15" hidden="false" customHeight="false" outlineLevel="0" collapsed="false">
      <c r="A27" s="14" t="s">
        <v>378</v>
      </c>
      <c r="C27" s="92" t="n">
        <f aca="false">D10</f>
        <v>5033.9555125722</v>
      </c>
      <c r="D27" s="93" t="n">
        <f aca="false">1/(1+Scenarios!$C$10)^2</f>
        <v>0.694444444444444</v>
      </c>
      <c r="E27" s="92" t="n">
        <f aca="false">C27*D27</f>
        <v>3495.80243928625</v>
      </c>
    </row>
    <row r="28" customFormat="false" ht="15" hidden="false" customHeight="false" outlineLevel="0" collapsed="false">
      <c r="A28" s="14" t="s">
        <v>379</v>
      </c>
      <c r="C28" s="92" t="n">
        <f aca="false">E10</f>
        <v>47108.1522291173</v>
      </c>
      <c r="D28" s="93" t="n">
        <f aca="false">1/(1+Scenarios!$C$10)^3</f>
        <v>0.578703703703704</v>
      </c>
      <c r="E28" s="92" t="n">
        <f aca="false">C28*D28</f>
        <v>27261.6621696281</v>
      </c>
    </row>
    <row r="29" customFormat="false" ht="15" hidden="false" customHeight="false" outlineLevel="0" collapsed="false">
      <c r="A29" s="14" t="s">
        <v>380</v>
      </c>
      <c r="C29" s="92" t="n">
        <f aca="false">F10</f>
        <v>83647.0215736097</v>
      </c>
      <c r="D29" s="93" t="n">
        <f aca="false">1/(1+Scenarios!$C$10)^4</f>
        <v>0.482253086419753</v>
      </c>
      <c r="E29" s="92" t="n">
        <f aca="false">C29*D29</f>
        <v>40339.0343236929</v>
      </c>
    </row>
    <row r="30" customFormat="false" ht="15" hidden="false" customHeight="false" outlineLevel="0" collapsed="false">
      <c r="A30" s="14" t="s">
        <v>381</v>
      </c>
      <c r="C30" s="92" t="n">
        <f aca="false">G10</f>
        <v>102979.067889564</v>
      </c>
      <c r="D30" s="93" t="n">
        <f aca="false">1/(1+Scenarios!$C$10)^5</f>
        <v>0.401877572016461</v>
      </c>
      <c r="E30" s="92" t="n">
        <f aca="false">C30*D30</f>
        <v>41384.9777719761</v>
      </c>
    </row>
    <row r="31" customFormat="false" ht="15" hidden="false" customHeight="false" outlineLevel="0" collapsed="false">
      <c r="A31" s="22" t="s">
        <v>829</v>
      </c>
      <c r="E31" s="76" t="n">
        <f aca="false">SUM(E26:E30)</f>
        <v>22817.9071005114</v>
      </c>
    </row>
    <row r="33" customFormat="false" ht="15" hidden="false" customHeight="false" outlineLevel="0" collapsed="false">
      <c r="A33" s="10" t="s">
        <v>830</v>
      </c>
    </row>
    <row r="35" customFormat="false" ht="15" hidden="false" customHeight="false" outlineLevel="0" collapsed="false">
      <c r="A35" s="57" t="s">
        <v>831</v>
      </c>
      <c r="B35" s="58"/>
      <c r="C35" s="58"/>
      <c r="D35" s="58"/>
      <c r="E35" s="58"/>
      <c r="F35" s="58"/>
      <c r="G35" s="58"/>
      <c r="H35" s="58"/>
    </row>
    <row r="36" customFormat="false" ht="15" hidden="false" customHeight="false" outlineLevel="0" collapsed="false">
      <c r="A36" s="77" t="s">
        <v>832</v>
      </c>
      <c r="C36" s="18" t="n">
        <f aca="false">Assumptions!$B$87</f>
        <v>120000</v>
      </c>
      <c r="D36" s="18" t="n">
        <f aca="false">0</f>
        <v>0</v>
      </c>
      <c r="E36" s="18" t="n">
        <f aca="false">0</f>
        <v>0</v>
      </c>
      <c r="F36" s="18" t="n">
        <f aca="false">0</f>
        <v>0</v>
      </c>
      <c r="G36" s="18" t="n">
        <f aca="false">0</f>
        <v>0</v>
      </c>
      <c r="H36" s="76" t="n">
        <f aca="false">SUM(C36:G36)</f>
        <v>120000</v>
      </c>
    </row>
    <row r="37" customFormat="false" ht="15" hidden="false" customHeight="false" outlineLevel="0" collapsed="false">
      <c r="A37" s="57" t="s">
        <v>833</v>
      </c>
      <c r="C37" s="76" t="n">
        <f aca="false">C10+C36</f>
        <v>12403.7164751136</v>
      </c>
      <c r="D37" s="76" t="n">
        <f aca="false">C37+D10+D36</f>
        <v>17437.6719876858</v>
      </c>
      <c r="E37" s="76" t="n">
        <f aca="false">D37+E10+E36</f>
        <v>64545.8242168031</v>
      </c>
      <c r="F37" s="76" t="n">
        <f aca="false">E37+F10+F36</f>
        <v>148192.845790413</v>
      </c>
      <c r="G37" s="76" t="n">
        <f aca="false">F37+G10+G36</f>
        <v>251171.913679976</v>
      </c>
    </row>
    <row r="38" customFormat="false" ht="15" hidden="false" customHeight="false" outlineLevel="0" collapsed="false">
      <c r="A38" s="77" t="s">
        <v>834</v>
      </c>
      <c r="C38" s="87" t="str">
        <f aca="false">IF(MIN(C37:G37)&gt;=0,"YES","NO")</f>
        <v>YES</v>
      </c>
      <c r="D38" s="67"/>
    </row>
    <row r="39" customFormat="false" ht="15" hidden="false" customHeight="false" outlineLevel="0" collapsed="false">
      <c r="A39" s="77" t="s">
        <v>835</v>
      </c>
      <c r="C39" s="76" t="n">
        <f aca="false">NPV(Scenarios!$C$10,C13:G13)</f>
        <v>77303.0360939527</v>
      </c>
      <c r="D39" s="67" t="s">
        <v>836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26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873</v>
      </c>
    </row>
    <row r="2" customFormat="false" ht="15" hidden="false" customHeight="false" outlineLevel="0" collapsed="false">
      <c r="A2" s="2" t="s">
        <v>874</v>
      </c>
    </row>
    <row r="4" customFormat="false" ht="15" hidden="false" customHeight="false" outlineLevel="0" collapsed="false">
      <c r="A4" s="40" t="s">
        <v>875</v>
      </c>
      <c r="B4" s="41"/>
      <c r="C4" s="41"/>
      <c r="D4" s="41"/>
      <c r="E4" s="41"/>
      <c r="F4" s="41"/>
    </row>
    <row r="5" customFormat="false" ht="15" hidden="false" customHeight="false" outlineLevel="0" collapsed="false">
      <c r="A5" s="15" t="s">
        <v>876</v>
      </c>
      <c r="B5" s="16" t="s">
        <v>61</v>
      </c>
      <c r="C5" s="16" t="s">
        <v>877</v>
      </c>
      <c r="D5" s="16" t="s">
        <v>878</v>
      </c>
      <c r="E5" s="16" t="s">
        <v>879</v>
      </c>
      <c r="F5" s="16" t="s">
        <v>880</v>
      </c>
    </row>
    <row r="6" customFormat="false" ht="22.35" hidden="false" customHeight="false" outlineLevel="0" collapsed="false">
      <c r="A6" s="44" t="s">
        <v>881</v>
      </c>
      <c r="B6" s="44" t="s">
        <v>882</v>
      </c>
      <c r="C6" s="44" t="s">
        <v>883</v>
      </c>
      <c r="D6" s="44" t="s">
        <v>884</v>
      </c>
      <c r="E6" s="44" t="s">
        <v>885</v>
      </c>
      <c r="F6" s="44" t="s">
        <v>886</v>
      </c>
    </row>
    <row r="7" customFormat="false" ht="22.35" hidden="false" customHeight="false" outlineLevel="0" collapsed="false">
      <c r="A7" s="44" t="s">
        <v>887</v>
      </c>
      <c r="B7" s="44" t="s">
        <v>888</v>
      </c>
      <c r="C7" s="44" t="s">
        <v>889</v>
      </c>
      <c r="D7" s="44" t="s">
        <v>890</v>
      </c>
      <c r="E7" s="44" t="s">
        <v>891</v>
      </c>
      <c r="F7" s="44" t="s">
        <v>892</v>
      </c>
    </row>
    <row r="8" customFormat="false" ht="15" hidden="false" customHeight="false" outlineLevel="0" collapsed="false">
      <c r="A8" s="44" t="s">
        <v>893</v>
      </c>
      <c r="B8" s="44" t="s">
        <v>129</v>
      </c>
      <c r="C8" s="44" t="s">
        <v>894</v>
      </c>
      <c r="D8" s="44" t="s">
        <v>895</v>
      </c>
      <c r="E8" s="44" t="s">
        <v>896</v>
      </c>
      <c r="F8" s="44" t="s">
        <v>897</v>
      </c>
    </row>
    <row r="9" customFormat="false" ht="15" hidden="false" customHeight="false" outlineLevel="0" collapsed="false">
      <c r="A9" s="44" t="s">
        <v>898</v>
      </c>
      <c r="B9" s="44" t="s">
        <v>899</v>
      </c>
      <c r="C9" s="44" t="s">
        <v>900</v>
      </c>
      <c r="D9" s="44" t="s">
        <v>901</v>
      </c>
      <c r="E9" s="44" t="s">
        <v>902</v>
      </c>
      <c r="F9" s="44" t="s">
        <v>903</v>
      </c>
    </row>
    <row r="10" customFormat="false" ht="15" hidden="false" customHeight="false" outlineLevel="0" collapsed="false">
      <c r="A10" s="44" t="s">
        <v>904</v>
      </c>
      <c r="B10" s="44" t="s">
        <v>905</v>
      </c>
      <c r="C10" s="44" t="s">
        <v>906</v>
      </c>
      <c r="D10" s="44" t="s">
        <v>907</v>
      </c>
      <c r="E10" s="44" t="s">
        <v>908</v>
      </c>
      <c r="F10" s="44" t="s">
        <v>909</v>
      </c>
    </row>
    <row r="11" customFormat="false" ht="22.35" hidden="false" customHeight="false" outlineLevel="0" collapsed="false">
      <c r="A11" s="44" t="s">
        <v>910</v>
      </c>
      <c r="B11" s="44" t="s">
        <v>911</v>
      </c>
      <c r="C11" s="44" t="s">
        <v>912</v>
      </c>
      <c r="D11" s="44" t="s">
        <v>913</v>
      </c>
      <c r="E11" s="44" t="s">
        <v>896</v>
      </c>
      <c r="F11" s="44" t="s">
        <v>914</v>
      </c>
    </row>
    <row r="12" customFormat="false" ht="22.35" hidden="false" customHeight="false" outlineLevel="0" collapsed="false">
      <c r="A12" s="44" t="s">
        <v>915</v>
      </c>
      <c r="B12" s="44" t="s">
        <v>916</v>
      </c>
      <c r="C12" s="44" t="s">
        <v>917</v>
      </c>
      <c r="D12" s="44" t="s">
        <v>918</v>
      </c>
      <c r="E12" s="44" t="s">
        <v>896</v>
      </c>
      <c r="F12" s="44" t="s">
        <v>919</v>
      </c>
    </row>
    <row r="13" customFormat="false" ht="22.35" hidden="false" customHeight="false" outlineLevel="0" collapsed="false">
      <c r="A13" s="44" t="s">
        <v>920</v>
      </c>
      <c r="B13" s="44" t="s">
        <v>921</v>
      </c>
      <c r="C13" s="44" t="s">
        <v>922</v>
      </c>
      <c r="D13" s="44" t="s">
        <v>923</v>
      </c>
      <c r="E13" s="44" t="s">
        <v>896</v>
      </c>
      <c r="F13" s="44" t="s">
        <v>924</v>
      </c>
    </row>
    <row r="14" customFormat="false" ht="15" hidden="false" customHeight="false" outlineLevel="0" collapsed="false">
      <c r="A14" s="44" t="s">
        <v>925</v>
      </c>
      <c r="B14" s="44" t="s">
        <v>926</v>
      </c>
      <c r="C14" s="44" t="s">
        <v>927</v>
      </c>
      <c r="D14" s="44" t="s">
        <v>928</v>
      </c>
      <c r="E14" s="44" t="s">
        <v>896</v>
      </c>
      <c r="F14" s="44" t="s">
        <v>929</v>
      </c>
    </row>
    <row r="15" customFormat="false" ht="15" hidden="false" customHeight="false" outlineLevel="0" collapsed="false">
      <c r="A15" s="44" t="s">
        <v>930</v>
      </c>
      <c r="B15" s="44" t="s">
        <v>352</v>
      </c>
      <c r="C15" s="44" t="s">
        <v>931</v>
      </c>
      <c r="D15" s="44" t="s">
        <v>932</v>
      </c>
      <c r="E15" s="44" t="s">
        <v>896</v>
      </c>
      <c r="F15" s="44" t="s">
        <v>933</v>
      </c>
    </row>
    <row r="16" customFormat="false" ht="22.35" hidden="false" customHeight="false" outlineLevel="0" collapsed="false">
      <c r="A16" s="44" t="s">
        <v>934</v>
      </c>
      <c r="B16" s="44" t="s">
        <v>935</v>
      </c>
      <c r="C16" s="44" t="s">
        <v>936</v>
      </c>
      <c r="D16" s="44" t="s">
        <v>937</v>
      </c>
      <c r="E16" s="44" t="s">
        <v>938</v>
      </c>
      <c r="F16" s="44" t="s">
        <v>939</v>
      </c>
    </row>
    <row r="17" customFormat="false" ht="22.35" hidden="false" customHeight="false" outlineLevel="0" collapsed="false">
      <c r="A17" s="44" t="s">
        <v>940</v>
      </c>
      <c r="B17" s="44" t="s">
        <v>941</v>
      </c>
      <c r="C17" s="44" t="s">
        <v>942</v>
      </c>
      <c r="D17" s="44" t="s">
        <v>943</v>
      </c>
      <c r="E17" s="44" t="s">
        <v>896</v>
      </c>
      <c r="F17" s="44" t="s">
        <v>944</v>
      </c>
    </row>
    <row r="18" customFormat="false" ht="43.25" hidden="false" customHeight="false" outlineLevel="0" collapsed="false">
      <c r="A18" s="44" t="s">
        <v>945</v>
      </c>
      <c r="B18" s="44" t="s">
        <v>946</v>
      </c>
      <c r="C18" s="44" t="s">
        <v>947</v>
      </c>
      <c r="D18" s="44" t="s">
        <v>948</v>
      </c>
      <c r="E18" s="44" t="s">
        <v>949</v>
      </c>
      <c r="F18" s="44" t="s">
        <v>950</v>
      </c>
    </row>
    <row r="19" customFormat="false" ht="32.8" hidden="false" customHeight="false" outlineLevel="0" collapsed="false">
      <c r="A19" s="44" t="s">
        <v>951</v>
      </c>
      <c r="B19" s="44" t="s">
        <v>952</v>
      </c>
      <c r="C19" s="44" t="s">
        <v>947</v>
      </c>
      <c r="D19" s="44" t="s">
        <v>953</v>
      </c>
      <c r="E19" s="44" t="s">
        <v>954</v>
      </c>
      <c r="F19" s="44" t="s">
        <v>955</v>
      </c>
    </row>
    <row r="20" customFormat="false" ht="32.8" hidden="false" customHeight="false" outlineLevel="0" collapsed="false">
      <c r="A20" s="44" t="s">
        <v>956</v>
      </c>
      <c r="B20" s="44" t="s">
        <v>957</v>
      </c>
      <c r="C20" s="44" t="s">
        <v>958</v>
      </c>
      <c r="D20" s="44" t="s">
        <v>959</v>
      </c>
      <c r="E20" s="44" t="s">
        <v>896</v>
      </c>
      <c r="F20" s="44" t="s">
        <v>960</v>
      </c>
    </row>
    <row r="21" customFormat="false" ht="32.8" hidden="false" customHeight="false" outlineLevel="0" collapsed="false">
      <c r="A21" s="44" t="s">
        <v>961</v>
      </c>
      <c r="B21" s="44" t="s">
        <v>962</v>
      </c>
      <c r="C21" s="44" t="s">
        <v>947</v>
      </c>
      <c r="D21" s="44" t="s">
        <v>963</v>
      </c>
      <c r="E21" s="44" t="s">
        <v>947</v>
      </c>
      <c r="F21" s="44" t="s">
        <v>964</v>
      </c>
    </row>
    <row r="22" customFormat="false" ht="22.35" hidden="false" customHeight="false" outlineLevel="0" collapsed="false">
      <c r="A22" s="44" t="s">
        <v>965</v>
      </c>
      <c r="B22" s="44" t="s">
        <v>966</v>
      </c>
      <c r="C22" s="44" t="s">
        <v>967</v>
      </c>
      <c r="D22" s="44" t="s">
        <v>968</v>
      </c>
      <c r="E22" s="44" t="s">
        <v>947</v>
      </c>
      <c r="F22" s="44" t="s">
        <v>969</v>
      </c>
    </row>
    <row r="23" customFormat="false" ht="15" hidden="false" customHeight="false" outlineLevel="0" collapsed="false">
      <c r="A23" s="44" t="s">
        <v>970</v>
      </c>
      <c r="B23" s="44" t="s">
        <v>971</v>
      </c>
      <c r="C23" s="44" t="s">
        <v>972</v>
      </c>
      <c r="D23" s="44" t="s">
        <v>973</v>
      </c>
      <c r="E23" s="44" t="s">
        <v>947</v>
      </c>
      <c r="F23" s="44" t="s">
        <v>974</v>
      </c>
    </row>
    <row r="24" customFormat="false" ht="22.35" hidden="false" customHeight="false" outlineLevel="0" collapsed="false">
      <c r="A24" s="44" t="s">
        <v>975</v>
      </c>
      <c r="B24" s="44" t="s">
        <v>976</v>
      </c>
      <c r="C24" s="44" t="s">
        <v>947</v>
      </c>
      <c r="D24" s="44" t="s">
        <v>977</v>
      </c>
      <c r="E24" s="44" t="s">
        <v>947</v>
      </c>
      <c r="F24" s="44" t="s">
        <v>978</v>
      </c>
    </row>
    <row r="25" customFormat="false" ht="32.8" hidden="false" customHeight="false" outlineLevel="0" collapsed="false">
      <c r="A25" s="44" t="s">
        <v>979</v>
      </c>
      <c r="B25" s="44" t="s">
        <v>980</v>
      </c>
      <c r="C25" s="44" t="s">
        <v>981</v>
      </c>
      <c r="D25" s="44" t="s">
        <v>982</v>
      </c>
      <c r="E25" s="44" t="s">
        <v>947</v>
      </c>
      <c r="F25" s="44" t="s">
        <v>964</v>
      </c>
    </row>
    <row r="26" customFormat="false" ht="22.35" hidden="false" customHeight="false" outlineLevel="0" collapsed="false">
      <c r="A26" s="44" t="s">
        <v>983</v>
      </c>
      <c r="B26" s="44" t="s">
        <v>984</v>
      </c>
      <c r="C26" s="44" t="s">
        <v>985</v>
      </c>
      <c r="D26" s="44" t="s">
        <v>986</v>
      </c>
      <c r="E26" s="44" t="s">
        <v>947</v>
      </c>
      <c r="F26" s="44" t="s">
        <v>964</v>
      </c>
    </row>
    <row r="28" customFormat="false" ht="15" hidden="false" customHeight="false" outlineLevel="0" collapsed="false">
      <c r="A28" s="40" t="s">
        <v>987</v>
      </c>
      <c r="B28" s="41"/>
      <c r="C28" s="41"/>
      <c r="D28" s="41"/>
      <c r="E28" s="41"/>
      <c r="F28" s="41"/>
    </row>
    <row r="29" customFormat="false" ht="15" hidden="false" customHeight="false" outlineLevel="0" collapsed="false">
      <c r="A29" s="15" t="s">
        <v>17</v>
      </c>
      <c r="B29" s="16" t="s">
        <v>988</v>
      </c>
      <c r="C29" s="16" t="s">
        <v>989</v>
      </c>
      <c r="D29" s="16" t="s">
        <v>990</v>
      </c>
      <c r="E29" s="16" t="s">
        <v>991</v>
      </c>
      <c r="F29" s="16" t="s">
        <v>992</v>
      </c>
    </row>
    <row r="30" customFormat="false" ht="15" hidden="false" customHeight="false" outlineLevel="0" collapsed="false">
      <c r="A30" s="94" t="s">
        <v>20</v>
      </c>
      <c r="B30" s="96" t="n">
        <v>133121.954366345</v>
      </c>
      <c r="C30" s="96" t="n">
        <v>27889.542304645</v>
      </c>
      <c r="D30" s="97" t="n">
        <f aca="false">Conservative_Test!B26</f>
        <v>137144.649685883</v>
      </c>
      <c r="E30" s="97" t="n">
        <f aca="false">Conservative_Test!C26</f>
        <v>22856.605648698</v>
      </c>
      <c r="F30" s="98" t="str">
        <f aca="false">Conservative_Test!E26&amp;" / "&amp;Conservative_Test!F26</f>
        <v>PASS / PASS</v>
      </c>
    </row>
    <row r="31" customFormat="false" ht="15" hidden="false" customHeight="false" outlineLevel="0" collapsed="false">
      <c r="A31" s="94" t="s">
        <v>21</v>
      </c>
      <c r="B31" s="96" t="n">
        <v>29121.954366345</v>
      </c>
      <c r="C31" s="96" t="n">
        <v>27889.542304645</v>
      </c>
      <c r="D31" s="97" t="n">
        <f aca="false">Conservative_Test!B27</f>
        <v>33144.6496858832</v>
      </c>
      <c r="E31" s="97" t="n">
        <f aca="false">Conservative_Test!C27</f>
        <v>22856.605648698</v>
      </c>
      <c r="F31" s="98" t="str">
        <f aca="false">Conservative_Test!E27&amp;" / "&amp;Conservative_Test!F27</f>
        <v>PASS / PASS</v>
      </c>
    </row>
    <row r="32" customFormat="false" ht="15" hidden="false" customHeight="false" outlineLevel="0" collapsed="false">
      <c r="A32" s="94" t="s">
        <v>22</v>
      </c>
      <c r="B32" s="96" t="n">
        <v>79873.172619807</v>
      </c>
      <c r="C32" s="96" t="n">
        <v>11155.816921858</v>
      </c>
      <c r="D32" s="97" t="n">
        <f aca="false">Conservative_Test!B28</f>
        <v>82286.7898115299</v>
      </c>
      <c r="E32" s="97" t="n">
        <f aca="false">Conservative_Test!C28</f>
        <v>9142.64225947921</v>
      </c>
      <c r="F32" s="98" t="str">
        <f aca="false">Conservative_Test!E28&amp;" / "&amp;Conservative_Test!F28</f>
        <v>PASS / PASS</v>
      </c>
    </row>
    <row r="33" customFormat="false" ht="15" hidden="false" customHeight="false" outlineLevel="0" collapsed="false">
      <c r="A33" s="94" t="s">
        <v>23</v>
      </c>
      <c r="B33" s="96" t="n">
        <v>75112.475</v>
      </c>
      <c r="C33" s="96" t="n">
        <v>64980.3234111412</v>
      </c>
      <c r="D33" s="97" t="n">
        <f aca="false">Conservative_Test!B29</f>
        <v>82163.2986428572</v>
      </c>
      <c r="E33" s="97" t="n">
        <f aca="false">Conservative_Test!C29</f>
        <v>50465.8974111412</v>
      </c>
      <c r="F33" s="98" t="str">
        <f aca="false">Conservative_Test!E29&amp;" / "&amp;Conservative_Test!F29</f>
        <v>PASS / PASS</v>
      </c>
    </row>
    <row r="34" customFormat="false" ht="15" hidden="false" customHeight="false" outlineLevel="0" collapsed="false">
      <c r="A34" s="94" t="s">
        <v>24</v>
      </c>
      <c r="B34" s="99" t="n">
        <v>0.0454756300467933</v>
      </c>
      <c r="C34" s="99" t="n">
        <v>0.0454756300467933</v>
      </c>
      <c r="D34" s="100" t="n">
        <f aca="false">Conservative_Test!B30</f>
        <v>0.0454756300467933</v>
      </c>
      <c r="E34" s="100" t="n">
        <f aca="false">Conservative_Test!C30</f>
        <v>0.0454756300467933</v>
      </c>
      <c r="F34" s="98" t="str">
        <f aca="false">Conservative_Test!E30&amp;" / "&amp;Conservative_Test!F30</f>
        <v>PASS / PASS</v>
      </c>
    </row>
    <row r="35" customFormat="false" ht="15" hidden="false" customHeight="false" outlineLevel="0" collapsed="false">
      <c r="A35" s="94" t="s">
        <v>25</v>
      </c>
      <c r="B35" s="99" t="n">
        <v>0.0548412896873462</v>
      </c>
      <c r="C35" s="99" t="n">
        <v>0.0129472724282875</v>
      </c>
      <c r="D35" s="100" t="n">
        <f aca="false">Conservative_Test!B31</f>
        <v>0.0548412896873462</v>
      </c>
      <c r="E35" s="100" t="n">
        <f aca="false">Conservative_Test!C31</f>
        <v>0.0129472724282875</v>
      </c>
      <c r="F35" s="98" t="str">
        <f aca="false">Conservative_Test!E31&amp;" / "&amp;Conservative_Test!F31</f>
        <v>PASS / PASS</v>
      </c>
    </row>
    <row r="36" customFormat="false" ht="15" hidden="false" customHeight="false" outlineLevel="0" collapsed="false">
      <c r="A36" s="94" t="s">
        <v>26</v>
      </c>
      <c r="B36" s="101" t="n">
        <v>0</v>
      </c>
      <c r="C36" s="101" t="n">
        <v>0.212224857142857</v>
      </c>
      <c r="D36" s="102" t="n">
        <f aca="false">Conservative_Test!B32</f>
        <v>0</v>
      </c>
      <c r="E36" s="102" t="n">
        <f aca="false">Conservative_Test!C32</f>
        <v>0.4</v>
      </c>
      <c r="F36" s="98" t="str">
        <f aca="false">Conservative_Test!E32&amp;" / "&amp;Conservative_Test!F32</f>
        <v>PASS / PASS</v>
      </c>
    </row>
    <row r="37" customFormat="false" ht="15" hidden="false" customHeight="false" outlineLevel="0" collapsed="false">
      <c r="A37" s="94" t="s">
        <v>27</v>
      </c>
      <c r="B37" s="96" t="n">
        <v>87210.82785684</v>
      </c>
      <c r="C37" s="96" t="n">
        <v>17011.6476367174</v>
      </c>
      <c r="D37" s="97" t="n">
        <f aca="false">Conservative_Test!B33</f>
        <v>92228.3545158311</v>
      </c>
      <c r="E37" s="97" t="n">
        <f aca="false">Conservative_Test!C33</f>
        <v>5033.9555125722</v>
      </c>
      <c r="F37" s="98" t="str">
        <f aca="false">Conservative_Test!E33&amp;" / "&amp;Conservative_Test!F33</f>
        <v>PASS / PASS</v>
      </c>
    </row>
    <row r="38" customFormat="false" ht="15" hidden="false" customHeight="false" outlineLevel="0" collapsed="false">
      <c r="A38" s="94" t="s">
        <v>28</v>
      </c>
      <c r="B38" s="96" t="n">
        <v>1350115.06205963</v>
      </c>
      <c r="C38" s="96" t="n">
        <v>281066.687688274</v>
      </c>
      <c r="D38" s="97" t="n">
        <f aca="false">Conservative_Test!B34</f>
        <v>1434165.15358188</v>
      </c>
      <c r="E38" s="97" t="n">
        <f aca="false">Conservative_Test!C34</f>
        <v>131171.913679976</v>
      </c>
      <c r="F38" s="98" t="str">
        <f aca="false">Conservative_Test!E34&amp;" / "&amp;Conservative_Test!F34</f>
        <v>PASS / PASS</v>
      </c>
    </row>
    <row r="39" customFormat="false" ht="15" hidden="false" customHeight="false" outlineLevel="0" collapsed="false">
      <c r="A39" s="94" t="s">
        <v>29</v>
      </c>
      <c r="B39" s="96" t="n">
        <v>731297.83334542</v>
      </c>
      <c r="C39" s="96" t="n">
        <v>94917.0416600362</v>
      </c>
      <c r="D39" s="97" t="n">
        <f aca="false">Conservative_Test!B35</f>
        <v>778498.697675302</v>
      </c>
      <c r="E39" s="97" t="n">
        <f aca="false">Conservative_Test!C35</f>
        <v>22817.9071005114</v>
      </c>
      <c r="F39" s="98" t="str">
        <f aca="false">Conservative_Test!E35&amp;" / "&amp;Conservative_Test!F35</f>
        <v>PASS / PASS</v>
      </c>
    </row>
    <row r="40" customFormat="false" ht="15" hidden="false" customHeight="false" outlineLevel="0" collapsed="false">
      <c r="A40" s="94" t="s">
        <v>30</v>
      </c>
      <c r="B40" s="96" t="n">
        <v>33692.5639104076</v>
      </c>
      <c r="C40" s="96" t="n">
        <v>13667.1667870076</v>
      </c>
      <c r="D40" s="97" t="n">
        <f aca="false">Conservative_Test!B36</f>
        <v>33918.504549484</v>
      </c>
      <c r="E40" s="97" t="n">
        <f aca="false">Conservative_Test!C36</f>
        <v>12403.7164751136</v>
      </c>
      <c r="F40" s="98" t="str">
        <f aca="false">Conservative_Test!E36&amp;" / "&amp;Conservative_Test!F36</f>
        <v>PASS / PASS</v>
      </c>
    </row>
    <row r="41" customFormat="false" ht="15" hidden="false" customHeight="false" outlineLevel="0" collapsed="false">
      <c r="A41" s="94" t="s">
        <v>31</v>
      </c>
      <c r="B41" s="96" t="n">
        <v>87210.82785684</v>
      </c>
      <c r="C41" s="96" t="n">
        <v>17011.6476367174</v>
      </c>
      <c r="D41" s="97" t="n">
        <f aca="false">Conservative_Test!B37</f>
        <v>92228.3545158311</v>
      </c>
      <c r="E41" s="97" t="n">
        <f aca="false">Conservative_Test!C37</f>
        <v>5033.9555125722</v>
      </c>
      <c r="F41" s="98" t="str">
        <f aca="false">Conservative_Test!E37&amp;" / "&amp;Conservative_Test!F37</f>
        <v>PASS / PASS</v>
      </c>
    </row>
    <row r="42" customFormat="false" ht="15" hidden="false" customHeight="false" outlineLevel="0" collapsed="false">
      <c r="A42" s="10" t="s">
        <v>993</v>
      </c>
    </row>
    <row r="44" customFormat="false" ht="15" hidden="false" customHeight="false" outlineLevel="0" collapsed="false">
      <c r="A44" s="40" t="s">
        <v>994</v>
      </c>
      <c r="B44" s="41"/>
      <c r="C44" s="41"/>
      <c r="D44" s="41"/>
      <c r="E44" s="41"/>
      <c r="F44" s="41"/>
    </row>
    <row r="45" customFormat="false" ht="15" hidden="false" customHeight="false" outlineLevel="0" collapsed="false">
      <c r="A45" s="15" t="s">
        <v>447</v>
      </c>
      <c r="B45" s="16" t="s">
        <v>995</v>
      </c>
      <c r="C45" s="16" t="s">
        <v>996</v>
      </c>
      <c r="D45" s="16" t="s">
        <v>406</v>
      </c>
      <c r="E45" s="16"/>
      <c r="F45" s="16"/>
    </row>
    <row r="46" customFormat="false" ht="32.8" hidden="false" customHeight="false" outlineLevel="0" collapsed="false">
      <c r="A46" s="44" t="s">
        <v>997</v>
      </c>
      <c r="B46" s="44" t="s">
        <v>998</v>
      </c>
      <c r="C46" s="44" t="s">
        <v>999</v>
      </c>
      <c r="D46" s="44" t="s">
        <v>1000</v>
      </c>
    </row>
    <row r="47" customFormat="false" ht="22.35" hidden="false" customHeight="false" outlineLevel="0" collapsed="false">
      <c r="A47" s="44" t="s">
        <v>1001</v>
      </c>
      <c r="B47" s="44" t="s">
        <v>1002</v>
      </c>
      <c r="C47" s="44" t="s">
        <v>1003</v>
      </c>
      <c r="D47" s="44" t="s">
        <v>1004</v>
      </c>
    </row>
    <row r="48" customFormat="false" ht="32.8" hidden="false" customHeight="false" outlineLevel="0" collapsed="false">
      <c r="A48" s="44" t="s">
        <v>1005</v>
      </c>
      <c r="B48" s="44" t="s">
        <v>1006</v>
      </c>
      <c r="C48" s="44" t="s">
        <v>1007</v>
      </c>
      <c r="D48" s="44" t="s">
        <v>1008</v>
      </c>
    </row>
    <row r="49" customFormat="false" ht="22.35" hidden="false" customHeight="false" outlineLevel="0" collapsed="false">
      <c r="A49" s="44" t="s">
        <v>1009</v>
      </c>
      <c r="B49" s="44" t="s">
        <v>1010</v>
      </c>
      <c r="C49" s="44" t="s">
        <v>1011</v>
      </c>
      <c r="D49" s="44" t="s">
        <v>1012</v>
      </c>
    </row>
    <row r="50" customFormat="false" ht="22.35" hidden="false" customHeight="false" outlineLevel="0" collapsed="false">
      <c r="A50" s="44" t="s">
        <v>1013</v>
      </c>
      <c r="B50" s="44" t="s">
        <v>1014</v>
      </c>
      <c r="C50" s="44" t="s">
        <v>1015</v>
      </c>
      <c r="D50" s="44" t="s">
        <v>1016</v>
      </c>
    </row>
    <row r="51" customFormat="false" ht="22.35" hidden="false" customHeight="false" outlineLevel="0" collapsed="false">
      <c r="A51" s="44" t="s">
        <v>1017</v>
      </c>
      <c r="B51" s="44" t="s">
        <v>1018</v>
      </c>
      <c r="C51" s="44" t="s">
        <v>1019</v>
      </c>
      <c r="D51" s="44" t="s">
        <v>1020</v>
      </c>
    </row>
    <row r="52" customFormat="false" ht="32.8" hidden="false" customHeight="false" outlineLevel="0" collapsed="false">
      <c r="A52" s="44" t="s">
        <v>1021</v>
      </c>
      <c r="B52" s="44" t="s">
        <v>1022</v>
      </c>
      <c r="C52" s="44" t="s">
        <v>1023</v>
      </c>
      <c r="D52" s="44" t="s">
        <v>1024</v>
      </c>
    </row>
    <row r="53" customFormat="false" ht="32.8" hidden="false" customHeight="false" outlineLevel="0" collapsed="false">
      <c r="A53" s="44" t="s">
        <v>911</v>
      </c>
      <c r="B53" s="44" t="s">
        <v>1025</v>
      </c>
      <c r="C53" s="44" t="s">
        <v>1026</v>
      </c>
      <c r="D53" s="44" t="s">
        <v>1027</v>
      </c>
    </row>
    <row r="54" customFormat="false" ht="22.35" hidden="false" customHeight="false" outlineLevel="0" collapsed="false">
      <c r="A54" s="44" t="s">
        <v>1028</v>
      </c>
      <c r="B54" s="44" t="s">
        <v>1029</v>
      </c>
      <c r="C54" s="44" t="s">
        <v>1030</v>
      </c>
      <c r="D54" s="44" t="s">
        <v>1031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5" min="4" style="0" width="60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1032</v>
      </c>
    </row>
    <row r="2" customFormat="false" ht="15" hidden="false" customHeight="false" outlineLevel="0" collapsed="false">
      <c r="A2" s="2" t="s">
        <v>1033</v>
      </c>
    </row>
    <row r="4" customFormat="false" ht="15" hidden="false" customHeight="false" outlineLevel="0" collapsed="false">
      <c r="A4" s="40" t="s">
        <v>1034</v>
      </c>
      <c r="B4" s="41"/>
      <c r="C4" s="41"/>
      <c r="D4" s="41"/>
      <c r="E4" s="41"/>
      <c r="F4" s="41"/>
    </row>
    <row r="5" customFormat="false" ht="15" hidden="false" customHeight="false" outlineLevel="0" collapsed="false">
      <c r="A5" s="15" t="s">
        <v>876</v>
      </c>
      <c r="B5" s="16" t="s">
        <v>61</v>
      </c>
      <c r="C5" s="16" t="s">
        <v>877</v>
      </c>
      <c r="D5" s="16" t="s">
        <v>878</v>
      </c>
      <c r="E5" s="16" t="s">
        <v>406</v>
      </c>
    </row>
    <row r="6" customFormat="false" ht="15" hidden="false" customHeight="false" outlineLevel="0" collapsed="false">
      <c r="A6" s="44" t="s">
        <v>1035</v>
      </c>
      <c r="B6" s="44" t="s">
        <v>1036</v>
      </c>
      <c r="C6" s="44" t="s">
        <v>1037</v>
      </c>
      <c r="D6" s="44" t="s">
        <v>1038</v>
      </c>
      <c r="E6" s="44" t="s">
        <v>1039</v>
      </c>
    </row>
    <row r="7" customFormat="false" ht="15" hidden="false" customHeight="false" outlineLevel="0" collapsed="false">
      <c r="A7" s="44" t="s">
        <v>1040</v>
      </c>
      <c r="B7" s="44" t="s">
        <v>1041</v>
      </c>
      <c r="C7" s="44" t="s">
        <v>1042</v>
      </c>
      <c r="D7" s="44" t="s">
        <v>1043</v>
      </c>
      <c r="E7" s="44" t="s">
        <v>1044</v>
      </c>
    </row>
    <row r="8" customFormat="false" ht="15" hidden="false" customHeight="false" outlineLevel="0" collapsed="false">
      <c r="A8" s="44" t="s">
        <v>1045</v>
      </c>
      <c r="B8" s="44" t="s">
        <v>1046</v>
      </c>
      <c r="C8" s="44" t="s">
        <v>1047</v>
      </c>
      <c r="D8" s="44" t="s">
        <v>1048</v>
      </c>
      <c r="E8" s="44" t="s">
        <v>1049</v>
      </c>
    </row>
    <row r="9" customFormat="false" ht="22.35" hidden="false" customHeight="false" outlineLevel="0" collapsed="false">
      <c r="A9" s="44" t="s">
        <v>893</v>
      </c>
      <c r="B9" s="44" t="s">
        <v>1050</v>
      </c>
      <c r="C9" s="44" t="s">
        <v>1051</v>
      </c>
      <c r="D9" s="44" t="s">
        <v>1052</v>
      </c>
      <c r="E9" s="44" t="s">
        <v>1053</v>
      </c>
    </row>
    <row r="10" customFormat="false" ht="53.7" hidden="false" customHeight="false" outlineLevel="0" collapsed="false">
      <c r="A10" s="44" t="s">
        <v>1054</v>
      </c>
      <c r="B10" s="44" t="s">
        <v>1055</v>
      </c>
      <c r="C10" s="44" t="s">
        <v>947</v>
      </c>
      <c r="D10" s="44" t="s">
        <v>1056</v>
      </c>
      <c r="E10" s="44" t="s">
        <v>1057</v>
      </c>
    </row>
    <row r="11" customFormat="false" ht="22.35" hidden="false" customHeight="false" outlineLevel="0" collapsed="false">
      <c r="A11" s="44" t="s">
        <v>1058</v>
      </c>
      <c r="B11" s="44" t="s">
        <v>1059</v>
      </c>
      <c r="C11" s="44" t="s">
        <v>922</v>
      </c>
      <c r="D11" s="44" t="s">
        <v>1060</v>
      </c>
      <c r="E11" s="44" t="s">
        <v>1061</v>
      </c>
    </row>
    <row r="12" customFormat="false" ht="22.35" hidden="false" customHeight="false" outlineLevel="0" collapsed="false">
      <c r="A12" s="44" t="s">
        <v>1062</v>
      </c>
      <c r="B12" s="44" t="s">
        <v>1063</v>
      </c>
      <c r="C12" s="44" t="s">
        <v>922</v>
      </c>
      <c r="D12" s="44" t="s">
        <v>1064</v>
      </c>
      <c r="E12" s="44" t="s">
        <v>1061</v>
      </c>
    </row>
    <row r="13" customFormat="false" ht="22.35" hidden="false" customHeight="false" outlineLevel="0" collapsed="false">
      <c r="A13" s="44" t="s">
        <v>1065</v>
      </c>
      <c r="B13" s="44" t="s">
        <v>1066</v>
      </c>
      <c r="C13" s="44" t="s">
        <v>1067</v>
      </c>
      <c r="D13" s="44" t="s">
        <v>900</v>
      </c>
      <c r="E13" s="44" t="s">
        <v>1068</v>
      </c>
    </row>
    <row r="14" customFormat="false" ht="15" hidden="false" customHeight="false" outlineLevel="0" collapsed="false">
      <c r="A14" s="44" t="s">
        <v>1069</v>
      </c>
      <c r="B14" s="44" t="s">
        <v>1070</v>
      </c>
      <c r="C14" s="44" t="s">
        <v>947</v>
      </c>
      <c r="D14" s="44" t="s">
        <v>1071</v>
      </c>
      <c r="E14" s="44" t="s">
        <v>1072</v>
      </c>
    </row>
    <row r="15" customFormat="false" ht="22.35" hidden="false" customHeight="false" outlineLevel="0" collapsed="false">
      <c r="A15" s="44" t="s">
        <v>1073</v>
      </c>
      <c r="B15" s="44" t="s">
        <v>1074</v>
      </c>
      <c r="C15" s="44" t="s">
        <v>947</v>
      </c>
      <c r="D15" s="44" t="s">
        <v>1075</v>
      </c>
      <c r="E15" s="44" t="s">
        <v>1076</v>
      </c>
    </row>
    <row r="16" customFormat="false" ht="32.8" hidden="false" customHeight="false" outlineLevel="0" collapsed="false">
      <c r="A16" s="44" t="s">
        <v>1077</v>
      </c>
      <c r="B16" s="44" t="s">
        <v>1078</v>
      </c>
      <c r="C16" s="44" t="s">
        <v>1079</v>
      </c>
      <c r="D16" s="44" t="s">
        <v>1080</v>
      </c>
      <c r="E16" s="44" t="s">
        <v>1081</v>
      </c>
    </row>
    <row r="18" customFormat="false" ht="15" hidden="false" customHeight="false" outlineLevel="0" collapsed="false">
      <c r="A18" s="40" t="s">
        <v>1082</v>
      </c>
      <c r="B18" s="41"/>
      <c r="C18" s="41"/>
      <c r="D18" s="41"/>
      <c r="E18" s="41"/>
      <c r="F18" s="41"/>
    </row>
    <row r="19" customFormat="false" ht="15" hidden="false" customHeight="false" outlineLevel="0" collapsed="false">
      <c r="A19" s="15" t="s">
        <v>1083</v>
      </c>
      <c r="B19" s="16" t="s">
        <v>876</v>
      </c>
      <c r="C19" s="16" t="s">
        <v>1084</v>
      </c>
      <c r="D19" s="16" t="s">
        <v>1085</v>
      </c>
      <c r="E19" s="16" t="s">
        <v>405</v>
      </c>
    </row>
    <row r="20" customFormat="false" ht="15" hidden="false" customHeight="false" outlineLevel="0" collapsed="false">
      <c r="A20" s="14" t="s">
        <v>1086</v>
      </c>
      <c r="B20" s="67" t="s">
        <v>1087</v>
      </c>
      <c r="C20" s="49" t="n">
        <v>105004.516866345</v>
      </c>
      <c r="D20" s="18" t="n">
        <f aca="false">Customer_ROI!C8</f>
        <v>137144.649685883</v>
      </c>
      <c r="E20" s="92" t="n">
        <f aca="false">D20-C20</f>
        <v>32140.1328195382</v>
      </c>
    </row>
    <row r="21" customFormat="false" ht="15" hidden="false" customHeight="false" outlineLevel="0" collapsed="false">
      <c r="A21" s="14" t="s">
        <v>1088</v>
      </c>
      <c r="B21" s="67" t="s">
        <v>1089</v>
      </c>
      <c r="C21" s="49" t="n">
        <v>1004.51686634501</v>
      </c>
      <c r="D21" s="18" t="n">
        <f aca="false">Customer_ROI!C10</f>
        <v>33144.6496858832</v>
      </c>
      <c r="E21" s="92" t="n">
        <f aca="false">D21-C21</f>
        <v>32140.1328195382</v>
      </c>
    </row>
    <row r="22" customFormat="false" ht="15" hidden="false" customHeight="false" outlineLevel="0" collapsed="false">
      <c r="A22" s="14" t="s">
        <v>1090</v>
      </c>
      <c r="B22" s="67" t="s">
        <v>1091</v>
      </c>
      <c r="C22" s="49" t="n">
        <v>59002.710119807</v>
      </c>
      <c r="D22" s="18" t="n">
        <f aca="false">Customer_ROI!C16</f>
        <v>82286.7898115299</v>
      </c>
      <c r="E22" s="92" t="n">
        <f aca="false">D22-C22</f>
        <v>23284.0796917229</v>
      </c>
    </row>
    <row r="23" customFormat="false" ht="15" hidden="false" customHeight="false" outlineLevel="0" collapsed="false">
      <c r="A23" s="14" t="s">
        <v>1092</v>
      </c>
      <c r="B23" s="67" t="s">
        <v>1093</v>
      </c>
      <c r="C23" s="49" t="n">
        <v>75112.475</v>
      </c>
      <c r="D23" s="18" t="n">
        <f aca="false">Pools!C50</f>
        <v>82163.2986428572</v>
      </c>
      <c r="E23" s="92" t="n">
        <f aca="false">D23-C23</f>
        <v>7050.82364285714</v>
      </c>
    </row>
    <row r="24" customFormat="false" ht="15" hidden="false" customHeight="false" outlineLevel="0" collapsed="false">
      <c r="A24" s="14" t="s">
        <v>1094</v>
      </c>
      <c r="B24" s="67" t="s">
        <v>1095</v>
      </c>
      <c r="C24" s="49" t="n">
        <v>-159762.311089592</v>
      </c>
      <c r="D24" s="18" t="n">
        <f aca="false">ROI!C10</f>
        <v>-86081.495450516</v>
      </c>
      <c r="E24" s="92" t="n">
        <f aca="false">D24-C24</f>
        <v>73680.815639076</v>
      </c>
    </row>
    <row r="25" customFormat="false" ht="15" hidden="false" customHeight="false" outlineLevel="0" collapsed="false">
      <c r="A25" s="14" t="s">
        <v>1096</v>
      </c>
      <c r="B25" s="67" t="s">
        <v>1097</v>
      </c>
      <c r="C25" s="49" t="n">
        <v>9334.55285683999</v>
      </c>
      <c r="D25" s="18" t="n">
        <f aca="false">ROI!D10</f>
        <v>92228.3545158311</v>
      </c>
      <c r="E25" s="92" t="n">
        <f aca="false">D25-C25</f>
        <v>82893.8016589911</v>
      </c>
    </row>
    <row r="26" customFormat="false" ht="15" hidden="false" customHeight="false" outlineLevel="0" collapsed="false">
      <c r="A26" s="14" t="s">
        <v>1098</v>
      </c>
      <c r="B26" s="67" t="s">
        <v>1099</v>
      </c>
      <c r="C26" s="49" t="n">
        <v>890418.26205963</v>
      </c>
      <c r="D26" s="18" t="n">
        <f aca="false">ROI!H10</f>
        <v>1434165.15358188</v>
      </c>
      <c r="E26" s="92" t="n">
        <f aca="false">D26-C26</f>
        <v>543746.891522249</v>
      </c>
    </row>
    <row r="27" customFormat="false" ht="15" hidden="false" customHeight="false" outlineLevel="0" collapsed="false">
      <c r="A27" s="14" t="s">
        <v>1100</v>
      </c>
      <c r="B27" s="67" t="s">
        <v>1101</v>
      </c>
      <c r="C27" s="49" t="n">
        <v>433000.812215952</v>
      </c>
      <c r="D27" s="18" t="n">
        <f aca="false">ROI!E31</f>
        <v>778498.697675302</v>
      </c>
      <c r="E27" s="92" t="n">
        <f aca="false">D27-C27</f>
        <v>345497.88545935</v>
      </c>
    </row>
    <row r="28" customFormat="false" ht="15" hidden="false" customHeight="false" outlineLevel="0" collapsed="false">
      <c r="A28" s="14" t="s">
        <v>1102</v>
      </c>
      <c r="B28" s="67" t="s">
        <v>1103</v>
      </c>
      <c r="C28" s="49" t="n">
        <v>2205970.26205963</v>
      </c>
      <c r="D28" s="18" t="n">
        <f aca="false">ROI!H8</f>
        <v>2657941.15358188</v>
      </c>
      <c r="E28" s="92" t="n">
        <f aca="false">D28-C28</f>
        <v>451970.891522249</v>
      </c>
    </row>
    <row r="29" customFormat="false" ht="15" hidden="false" customHeight="false" outlineLevel="0" collapsed="false">
      <c r="A29" s="14" t="s">
        <v>1104</v>
      </c>
      <c r="B29" s="67" t="s">
        <v>1105</v>
      </c>
      <c r="C29" s="49" t="n">
        <v>2846542.30616546</v>
      </c>
      <c r="D29" s="18" t="n">
        <f aca="false">ROI!H13</f>
        <v>4258510.41343097</v>
      </c>
      <c r="E29" s="92" t="n">
        <f aca="false">D29-C29</f>
        <v>1411968.10726551</v>
      </c>
    </row>
    <row r="30" customFormat="false" ht="15" hidden="false" customHeight="false" outlineLevel="0" collapsed="false">
      <c r="A30" s="10" t="s">
        <v>1106</v>
      </c>
    </row>
    <row r="32" customFormat="false" ht="15" hidden="false" customHeight="false" outlineLevel="0" collapsed="false">
      <c r="A32" s="40" t="s">
        <v>1107</v>
      </c>
      <c r="B32" s="41"/>
      <c r="C32" s="41"/>
      <c r="D32" s="41"/>
      <c r="E32" s="41"/>
      <c r="F32" s="41"/>
    </row>
    <row r="33" customFormat="false" ht="15" hidden="false" customHeight="false" outlineLevel="0" collapsed="false">
      <c r="A33" s="15" t="s">
        <v>1108</v>
      </c>
      <c r="B33" s="16" t="s">
        <v>1109</v>
      </c>
      <c r="C33" s="16" t="s">
        <v>1110</v>
      </c>
      <c r="D33" s="16" t="s">
        <v>1111</v>
      </c>
      <c r="E33" s="16" t="s">
        <v>1112</v>
      </c>
      <c r="F33" s="16" t="s">
        <v>1113</v>
      </c>
    </row>
    <row r="34" customFormat="false" ht="43.25" hidden="false" customHeight="false" outlineLevel="0" collapsed="false">
      <c r="A34" s="44" t="s">
        <v>1114</v>
      </c>
      <c r="B34" s="44" t="s">
        <v>1115</v>
      </c>
      <c r="C34" s="44" t="s">
        <v>60</v>
      </c>
      <c r="D34" s="44" t="s">
        <v>1116</v>
      </c>
      <c r="E34" s="44" t="s">
        <v>60</v>
      </c>
      <c r="F34" s="44" t="s">
        <v>1117</v>
      </c>
    </row>
    <row r="35" customFormat="false" ht="22.35" hidden="false" customHeight="false" outlineLevel="0" collapsed="false">
      <c r="A35" s="44" t="s">
        <v>1114</v>
      </c>
      <c r="B35" s="44" t="s">
        <v>1118</v>
      </c>
      <c r="C35" s="44" t="s">
        <v>69</v>
      </c>
      <c r="D35" s="44" t="s">
        <v>1119</v>
      </c>
      <c r="E35" s="44" t="s">
        <v>71</v>
      </c>
      <c r="F35" s="44" t="s">
        <v>1120</v>
      </c>
    </row>
    <row r="36" customFormat="false" ht="22.35" hidden="false" customHeight="false" outlineLevel="0" collapsed="false">
      <c r="A36" s="44" t="s">
        <v>1114</v>
      </c>
      <c r="B36" s="44" t="s">
        <v>1121</v>
      </c>
      <c r="C36" s="44" t="s">
        <v>77</v>
      </c>
      <c r="D36" s="44" t="s">
        <v>1122</v>
      </c>
      <c r="E36" s="44" t="s">
        <v>79</v>
      </c>
      <c r="F36" s="44" t="s">
        <v>1120</v>
      </c>
    </row>
    <row r="37" customFormat="false" ht="22.35" hidden="false" customHeight="false" outlineLevel="0" collapsed="false">
      <c r="A37" s="44" t="s">
        <v>1114</v>
      </c>
      <c r="B37" s="44" t="s">
        <v>1123</v>
      </c>
      <c r="C37" s="44" t="s">
        <v>91</v>
      </c>
      <c r="D37" s="44" t="s">
        <v>463</v>
      </c>
      <c r="E37" s="44" t="s">
        <v>91</v>
      </c>
      <c r="F37" s="44" t="s">
        <v>1117</v>
      </c>
    </row>
    <row r="38" customFormat="false" ht="32.8" hidden="false" customHeight="false" outlineLevel="0" collapsed="false">
      <c r="A38" s="44" t="s">
        <v>1114</v>
      </c>
      <c r="B38" s="44" t="s">
        <v>1124</v>
      </c>
      <c r="C38" s="44" t="s">
        <v>92</v>
      </c>
      <c r="D38" s="44" t="s">
        <v>1125</v>
      </c>
      <c r="E38" s="44" t="s">
        <v>94</v>
      </c>
      <c r="F38" s="44" t="s">
        <v>1120</v>
      </c>
    </row>
    <row r="39" customFormat="false" ht="15" hidden="false" customHeight="false" outlineLevel="0" collapsed="false">
      <c r="A39" s="44" t="s">
        <v>1114</v>
      </c>
      <c r="B39" s="44" t="s">
        <v>1126</v>
      </c>
      <c r="C39" s="44" t="s">
        <v>92</v>
      </c>
      <c r="D39" s="44" t="s">
        <v>1127</v>
      </c>
      <c r="E39" s="44" t="s">
        <v>1128</v>
      </c>
      <c r="F39" s="44" t="s">
        <v>1129</v>
      </c>
    </row>
    <row r="40" customFormat="false" ht="32.8" hidden="false" customHeight="false" outlineLevel="0" collapsed="false">
      <c r="A40" s="44" t="s">
        <v>1114</v>
      </c>
      <c r="B40" s="44" t="s">
        <v>1130</v>
      </c>
      <c r="C40" s="44" t="s">
        <v>98</v>
      </c>
      <c r="D40" s="44" t="s">
        <v>1131</v>
      </c>
      <c r="E40" s="44" t="s">
        <v>99</v>
      </c>
      <c r="F40" s="44" t="s">
        <v>1120</v>
      </c>
    </row>
    <row r="41" customFormat="false" ht="15" hidden="false" customHeight="false" outlineLevel="0" collapsed="false">
      <c r="A41" s="44" t="s">
        <v>1114</v>
      </c>
      <c r="B41" s="44" t="s">
        <v>1132</v>
      </c>
      <c r="C41" s="44" t="s">
        <v>98</v>
      </c>
      <c r="D41" s="44" t="s">
        <v>1133</v>
      </c>
      <c r="E41" s="44" t="s">
        <v>1134</v>
      </c>
      <c r="F41" s="44" t="s">
        <v>1135</v>
      </c>
    </row>
    <row r="42" customFormat="false" ht="22.35" hidden="false" customHeight="false" outlineLevel="0" collapsed="false">
      <c r="A42" s="44" t="s">
        <v>1114</v>
      </c>
      <c r="B42" s="44" t="s">
        <v>1136</v>
      </c>
      <c r="C42" s="44" t="s">
        <v>122</v>
      </c>
      <c r="D42" s="44" t="s">
        <v>483</v>
      </c>
      <c r="E42" s="44" t="s">
        <v>122</v>
      </c>
      <c r="F42" s="44" t="s">
        <v>1117</v>
      </c>
    </row>
    <row r="43" customFormat="false" ht="22.35" hidden="false" customHeight="false" outlineLevel="0" collapsed="false">
      <c r="A43" s="44" t="s">
        <v>1114</v>
      </c>
      <c r="B43" s="44" t="s">
        <v>1137</v>
      </c>
      <c r="C43" s="44" t="s">
        <v>123</v>
      </c>
      <c r="D43" s="44" t="s">
        <v>1138</v>
      </c>
      <c r="E43" s="44" t="s">
        <v>124</v>
      </c>
      <c r="F43" s="44" t="s">
        <v>1120</v>
      </c>
    </row>
    <row r="44" customFormat="false" ht="15" hidden="false" customHeight="false" outlineLevel="0" collapsed="false">
      <c r="A44" s="44" t="s">
        <v>1114</v>
      </c>
      <c r="B44" s="44" t="s">
        <v>1139</v>
      </c>
      <c r="C44" s="44" t="s">
        <v>123</v>
      </c>
      <c r="D44" s="44" t="s">
        <v>1140</v>
      </c>
      <c r="E44" s="44" t="s">
        <v>123</v>
      </c>
      <c r="F44" s="44" t="s">
        <v>1117</v>
      </c>
    </row>
    <row r="45" customFormat="false" ht="22.35" hidden="false" customHeight="false" outlineLevel="0" collapsed="false">
      <c r="A45" s="44" t="s">
        <v>1114</v>
      </c>
      <c r="B45" s="44" t="s">
        <v>1141</v>
      </c>
      <c r="C45" s="44" t="s">
        <v>123</v>
      </c>
      <c r="D45" s="44" t="s">
        <v>1142</v>
      </c>
      <c r="E45" s="44" t="s">
        <v>1143</v>
      </c>
      <c r="F45" s="44" t="s">
        <v>1135</v>
      </c>
    </row>
    <row r="46" customFormat="false" ht="22.35" hidden="false" customHeight="false" outlineLevel="0" collapsed="false">
      <c r="A46" s="44" t="s">
        <v>1114</v>
      </c>
      <c r="B46" s="44" t="s">
        <v>1144</v>
      </c>
      <c r="C46" s="44" t="s">
        <v>125</v>
      </c>
      <c r="D46" s="44" t="s">
        <v>119</v>
      </c>
      <c r="E46" s="44" t="s">
        <v>126</v>
      </c>
      <c r="F46" s="44" t="s">
        <v>1120</v>
      </c>
    </row>
    <row r="47" customFormat="false" ht="15" hidden="false" customHeight="false" outlineLevel="0" collapsed="false">
      <c r="A47" s="44" t="s">
        <v>1114</v>
      </c>
      <c r="B47" s="44" t="s">
        <v>1145</v>
      </c>
      <c r="C47" s="44" t="s">
        <v>125</v>
      </c>
      <c r="D47" s="44" t="s">
        <v>1146</v>
      </c>
      <c r="E47" s="44" t="s">
        <v>125</v>
      </c>
      <c r="F47" s="44" t="s">
        <v>1117</v>
      </c>
    </row>
    <row r="48" customFormat="false" ht="32.8" hidden="false" customHeight="false" outlineLevel="0" collapsed="false">
      <c r="A48" s="44" t="s">
        <v>1114</v>
      </c>
      <c r="B48" s="44" t="s">
        <v>1147</v>
      </c>
      <c r="C48" s="44" t="s">
        <v>127</v>
      </c>
      <c r="D48" s="44" t="s">
        <v>1148</v>
      </c>
      <c r="E48" s="44" t="s">
        <v>128</v>
      </c>
      <c r="F48" s="44" t="s">
        <v>1120</v>
      </c>
    </row>
    <row r="49" customFormat="false" ht="15" hidden="false" customHeight="false" outlineLevel="0" collapsed="false">
      <c r="A49" s="44" t="s">
        <v>1114</v>
      </c>
      <c r="B49" s="44" t="s">
        <v>1149</v>
      </c>
      <c r="C49" s="44" t="s">
        <v>127</v>
      </c>
      <c r="D49" s="44" t="s">
        <v>1150</v>
      </c>
      <c r="E49" s="44" t="s">
        <v>127</v>
      </c>
      <c r="F49" s="44" t="s">
        <v>1117</v>
      </c>
    </row>
    <row r="50" customFormat="false" ht="15" hidden="false" customHeight="false" outlineLevel="0" collapsed="false">
      <c r="A50" s="44" t="s">
        <v>1114</v>
      </c>
      <c r="B50" s="44" t="s">
        <v>1151</v>
      </c>
      <c r="C50" s="44" t="s">
        <v>127</v>
      </c>
      <c r="D50" s="44" t="s">
        <v>1152</v>
      </c>
      <c r="E50" s="44" t="s">
        <v>1153</v>
      </c>
      <c r="F50" s="44" t="s">
        <v>1129</v>
      </c>
    </row>
    <row r="51" customFormat="false" ht="15" hidden="false" customHeight="false" outlineLevel="0" collapsed="false">
      <c r="A51" s="44" t="s">
        <v>1114</v>
      </c>
      <c r="B51" s="44" t="s">
        <v>1154</v>
      </c>
      <c r="C51" s="44" t="s">
        <v>129</v>
      </c>
      <c r="D51" s="44" t="s">
        <v>1155</v>
      </c>
      <c r="E51" s="44" t="s">
        <v>130</v>
      </c>
      <c r="F51" s="44" t="s">
        <v>1120</v>
      </c>
    </row>
    <row r="52" customFormat="false" ht="15" hidden="false" customHeight="false" outlineLevel="0" collapsed="false">
      <c r="A52" s="44" t="s">
        <v>1114</v>
      </c>
      <c r="B52" s="44" t="s">
        <v>1156</v>
      </c>
      <c r="C52" s="44" t="s">
        <v>129</v>
      </c>
      <c r="D52" s="44" t="s">
        <v>1157</v>
      </c>
      <c r="E52" s="44" t="s">
        <v>1158</v>
      </c>
      <c r="F52" s="44" t="s">
        <v>1129</v>
      </c>
    </row>
    <row r="53" customFormat="false" ht="32.8" hidden="false" customHeight="false" outlineLevel="0" collapsed="false">
      <c r="A53" s="44" t="s">
        <v>1114</v>
      </c>
      <c r="B53" s="44" t="s">
        <v>1159</v>
      </c>
      <c r="C53" s="44" t="s">
        <v>132</v>
      </c>
      <c r="D53" s="44" t="s">
        <v>179</v>
      </c>
      <c r="E53" s="44" t="s">
        <v>133</v>
      </c>
      <c r="F53" s="44" t="s">
        <v>1120</v>
      </c>
    </row>
    <row r="54" customFormat="false" ht="15" hidden="false" customHeight="false" outlineLevel="0" collapsed="false">
      <c r="A54" s="44" t="s">
        <v>1114</v>
      </c>
      <c r="B54" s="44" t="s">
        <v>1160</v>
      </c>
      <c r="C54" s="44" t="s">
        <v>132</v>
      </c>
      <c r="D54" s="44" t="s">
        <v>1161</v>
      </c>
      <c r="E54" s="44" t="s">
        <v>132</v>
      </c>
      <c r="F54" s="44" t="s">
        <v>1117</v>
      </c>
    </row>
    <row r="55" customFormat="false" ht="15" hidden="false" customHeight="false" outlineLevel="0" collapsed="false">
      <c r="A55" s="44" t="s">
        <v>1114</v>
      </c>
      <c r="B55" s="44" t="s">
        <v>1162</v>
      </c>
      <c r="C55" s="44" t="s">
        <v>132</v>
      </c>
      <c r="D55" s="44" t="s">
        <v>1163</v>
      </c>
      <c r="E55" s="44" t="s">
        <v>1164</v>
      </c>
      <c r="F55" s="44" t="s">
        <v>1129</v>
      </c>
    </row>
    <row r="56" customFormat="false" ht="22.35" hidden="false" customHeight="false" outlineLevel="0" collapsed="false">
      <c r="A56" s="44" t="s">
        <v>1114</v>
      </c>
      <c r="B56" s="44" t="s">
        <v>1165</v>
      </c>
      <c r="C56" s="44" t="s">
        <v>134</v>
      </c>
      <c r="D56" s="44" t="s">
        <v>1166</v>
      </c>
      <c r="E56" s="44" t="s">
        <v>136</v>
      </c>
      <c r="F56" s="44" t="s">
        <v>1120</v>
      </c>
    </row>
    <row r="57" customFormat="false" ht="15" hidden="false" customHeight="false" outlineLevel="0" collapsed="false">
      <c r="A57" s="44" t="s">
        <v>1114</v>
      </c>
      <c r="B57" s="44" t="s">
        <v>1167</v>
      </c>
      <c r="C57" s="44" t="s">
        <v>134</v>
      </c>
      <c r="D57" s="44" t="s">
        <v>906</v>
      </c>
      <c r="E57" s="44" t="s">
        <v>1168</v>
      </c>
      <c r="F57" s="44" t="s">
        <v>1135</v>
      </c>
    </row>
    <row r="58" customFormat="false" ht="32.8" hidden="false" customHeight="false" outlineLevel="0" collapsed="false">
      <c r="A58" s="44" t="s">
        <v>1114</v>
      </c>
      <c r="B58" s="44" t="s">
        <v>1169</v>
      </c>
      <c r="C58" s="44" t="s">
        <v>137</v>
      </c>
      <c r="D58" s="44" t="s">
        <v>119</v>
      </c>
      <c r="E58" s="44" t="s">
        <v>138</v>
      </c>
      <c r="F58" s="44" t="s">
        <v>1120</v>
      </c>
    </row>
    <row r="59" customFormat="false" ht="15" hidden="false" customHeight="false" outlineLevel="0" collapsed="false">
      <c r="A59" s="44" t="s">
        <v>1114</v>
      </c>
      <c r="B59" s="44" t="s">
        <v>1170</v>
      </c>
      <c r="C59" s="44" t="s">
        <v>137</v>
      </c>
      <c r="D59" s="44" t="s">
        <v>1171</v>
      </c>
      <c r="E59" s="44" t="s">
        <v>137</v>
      </c>
      <c r="F59" s="44" t="s">
        <v>1117</v>
      </c>
    </row>
    <row r="60" customFormat="false" ht="15" hidden="false" customHeight="false" outlineLevel="0" collapsed="false">
      <c r="A60" s="44" t="s">
        <v>1114</v>
      </c>
      <c r="B60" s="44" t="s">
        <v>1172</v>
      </c>
      <c r="C60" s="44" t="s">
        <v>140</v>
      </c>
      <c r="D60" s="44" t="s">
        <v>1173</v>
      </c>
      <c r="E60" s="44" t="s">
        <v>141</v>
      </c>
      <c r="F60" s="44" t="s">
        <v>1120</v>
      </c>
    </row>
    <row r="61" customFormat="false" ht="15" hidden="false" customHeight="false" outlineLevel="0" collapsed="false">
      <c r="A61" s="44" t="s">
        <v>1114</v>
      </c>
      <c r="B61" s="44" t="s">
        <v>1174</v>
      </c>
      <c r="C61" s="44" t="s">
        <v>140</v>
      </c>
      <c r="D61" s="44" t="s">
        <v>1175</v>
      </c>
      <c r="E61" s="44" t="s">
        <v>140</v>
      </c>
      <c r="F61" s="44" t="s">
        <v>1117</v>
      </c>
    </row>
    <row r="62" customFormat="false" ht="15" hidden="false" customHeight="false" outlineLevel="0" collapsed="false">
      <c r="A62" s="44" t="s">
        <v>1114</v>
      </c>
      <c r="B62" s="44" t="s">
        <v>1176</v>
      </c>
      <c r="C62" s="44" t="s">
        <v>140</v>
      </c>
      <c r="D62" s="44" t="s">
        <v>1164</v>
      </c>
      <c r="E62" s="44" t="s">
        <v>1177</v>
      </c>
      <c r="F62" s="44" t="s">
        <v>1135</v>
      </c>
    </row>
    <row r="63" customFormat="false" ht="22.35" hidden="false" customHeight="false" outlineLevel="0" collapsed="false">
      <c r="A63" s="44" t="s">
        <v>1114</v>
      </c>
      <c r="B63" s="44" t="s">
        <v>1178</v>
      </c>
      <c r="C63" s="44" t="s">
        <v>142</v>
      </c>
      <c r="D63" s="44" t="s">
        <v>1179</v>
      </c>
      <c r="E63" s="44" t="s">
        <v>143</v>
      </c>
      <c r="F63" s="44" t="s">
        <v>1120</v>
      </c>
    </row>
    <row r="64" customFormat="false" ht="22.35" hidden="false" customHeight="false" outlineLevel="0" collapsed="false">
      <c r="A64" s="44" t="s">
        <v>1114</v>
      </c>
      <c r="B64" s="44" t="s">
        <v>1180</v>
      </c>
      <c r="C64" s="44" t="s">
        <v>144</v>
      </c>
      <c r="D64" s="44" t="s">
        <v>1181</v>
      </c>
      <c r="E64" s="44" t="s">
        <v>146</v>
      </c>
      <c r="F64" s="44" t="s">
        <v>1120</v>
      </c>
    </row>
    <row r="65" customFormat="false" ht="15" hidden="false" customHeight="false" outlineLevel="0" collapsed="false">
      <c r="A65" s="44" t="s">
        <v>1114</v>
      </c>
      <c r="B65" s="44" t="s">
        <v>1182</v>
      </c>
      <c r="C65" s="44" t="s">
        <v>183</v>
      </c>
      <c r="D65" s="44" t="s">
        <v>179</v>
      </c>
      <c r="E65" s="44" t="s">
        <v>184</v>
      </c>
      <c r="F65" s="44" t="s">
        <v>1120</v>
      </c>
    </row>
    <row r="66" customFormat="false" ht="15" hidden="false" customHeight="false" outlineLevel="0" collapsed="false">
      <c r="A66" s="94" t="s">
        <v>1114</v>
      </c>
      <c r="B66" s="94" t="s">
        <v>1183</v>
      </c>
      <c r="C66" s="94" t="s">
        <v>187</v>
      </c>
      <c r="D66" s="94" t="s">
        <v>1184</v>
      </c>
      <c r="E66" s="94" t="s">
        <v>1185</v>
      </c>
      <c r="F66" s="94" t="s">
        <v>1186</v>
      </c>
    </row>
    <row r="67" customFormat="false" ht="15" hidden="false" customHeight="false" outlineLevel="0" collapsed="false">
      <c r="A67" s="94" t="s">
        <v>1114</v>
      </c>
      <c r="B67" s="94" t="s">
        <v>1187</v>
      </c>
      <c r="C67" s="94" t="s">
        <v>188</v>
      </c>
      <c r="D67" s="94" t="s">
        <v>1184</v>
      </c>
      <c r="E67" s="94" t="s">
        <v>1185</v>
      </c>
      <c r="F67" s="94" t="s">
        <v>1186</v>
      </c>
    </row>
    <row r="68" customFormat="false" ht="15" hidden="false" customHeight="false" outlineLevel="0" collapsed="false">
      <c r="A68" s="94" t="s">
        <v>1114</v>
      </c>
      <c r="B68" s="94" t="s">
        <v>1188</v>
      </c>
      <c r="C68" s="94" t="s">
        <v>190</v>
      </c>
      <c r="D68" s="94" t="s">
        <v>1184</v>
      </c>
      <c r="E68" s="94" t="s">
        <v>1185</v>
      </c>
      <c r="F68" s="94" t="s">
        <v>1186</v>
      </c>
    </row>
    <row r="69" customFormat="false" ht="15" hidden="false" customHeight="false" outlineLevel="0" collapsed="false">
      <c r="A69" s="94" t="s">
        <v>1114</v>
      </c>
      <c r="B69" s="94" t="s">
        <v>1189</v>
      </c>
      <c r="C69" s="94" t="s">
        <v>192</v>
      </c>
      <c r="D69" s="94" t="s">
        <v>1184</v>
      </c>
      <c r="E69" s="94" t="s">
        <v>1185</v>
      </c>
      <c r="F69" s="94" t="s">
        <v>1186</v>
      </c>
    </row>
    <row r="70" customFormat="false" ht="15" hidden="false" customHeight="false" outlineLevel="0" collapsed="false">
      <c r="A70" s="94" t="s">
        <v>1114</v>
      </c>
      <c r="B70" s="94" t="s">
        <v>1190</v>
      </c>
      <c r="C70" s="94" t="s">
        <v>195</v>
      </c>
      <c r="D70" s="94" t="s">
        <v>1184</v>
      </c>
      <c r="E70" s="94" t="s">
        <v>1185</v>
      </c>
      <c r="F70" s="94" t="s">
        <v>1186</v>
      </c>
    </row>
    <row r="71" customFormat="false" ht="15" hidden="false" customHeight="false" outlineLevel="0" collapsed="false">
      <c r="A71" s="94" t="s">
        <v>1114</v>
      </c>
      <c r="B71" s="94" t="s">
        <v>1191</v>
      </c>
      <c r="C71" s="94" t="s">
        <v>196</v>
      </c>
      <c r="D71" s="94" t="s">
        <v>1184</v>
      </c>
      <c r="E71" s="94" t="s">
        <v>1185</v>
      </c>
      <c r="F71" s="94" t="s">
        <v>1186</v>
      </c>
    </row>
    <row r="72" customFormat="false" ht="15" hidden="false" customHeight="false" outlineLevel="0" collapsed="false">
      <c r="A72" s="94" t="s">
        <v>1114</v>
      </c>
      <c r="B72" s="94" t="s">
        <v>1192</v>
      </c>
      <c r="C72" s="94" t="s">
        <v>198</v>
      </c>
      <c r="D72" s="94" t="s">
        <v>1184</v>
      </c>
      <c r="E72" s="94" t="s">
        <v>1185</v>
      </c>
      <c r="F72" s="94" t="s">
        <v>1186</v>
      </c>
    </row>
    <row r="73" customFormat="false" ht="15" hidden="false" customHeight="false" outlineLevel="0" collapsed="false">
      <c r="A73" s="94" t="s">
        <v>1114</v>
      </c>
      <c r="B73" s="94" t="s">
        <v>1193</v>
      </c>
      <c r="C73" s="94" t="s">
        <v>200</v>
      </c>
      <c r="D73" s="94" t="s">
        <v>1184</v>
      </c>
      <c r="E73" s="94" t="s">
        <v>1185</v>
      </c>
      <c r="F73" s="94" t="s">
        <v>1186</v>
      </c>
    </row>
    <row r="74" customFormat="false" ht="15" hidden="false" customHeight="false" outlineLevel="0" collapsed="false">
      <c r="A74" s="94" t="s">
        <v>1114</v>
      </c>
      <c r="B74" s="94" t="s">
        <v>1194</v>
      </c>
      <c r="C74" s="94" t="s">
        <v>202</v>
      </c>
      <c r="D74" s="94" t="s">
        <v>1184</v>
      </c>
      <c r="E74" s="94" t="s">
        <v>1185</v>
      </c>
      <c r="F74" s="94" t="s">
        <v>1186</v>
      </c>
    </row>
    <row r="75" customFormat="false" ht="15" hidden="false" customHeight="false" outlineLevel="0" collapsed="false">
      <c r="A75" s="94" t="s">
        <v>1114</v>
      </c>
      <c r="B75" s="94" t="s">
        <v>1195</v>
      </c>
      <c r="C75" s="94" t="s">
        <v>204</v>
      </c>
      <c r="D75" s="94" t="s">
        <v>1184</v>
      </c>
      <c r="E75" s="94" t="s">
        <v>1185</v>
      </c>
      <c r="F75" s="94" t="s">
        <v>1186</v>
      </c>
    </row>
    <row r="76" customFormat="false" ht="15" hidden="false" customHeight="false" outlineLevel="0" collapsed="false">
      <c r="A76" s="94" t="s">
        <v>1114</v>
      </c>
      <c r="B76" s="94" t="s">
        <v>1196</v>
      </c>
      <c r="C76" s="94" t="s">
        <v>206</v>
      </c>
      <c r="D76" s="94" t="s">
        <v>1184</v>
      </c>
      <c r="E76" s="94" t="s">
        <v>1185</v>
      </c>
      <c r="F76" s="94" t="s">
        <v>1186</v>
      </c>
    </row>
    <row r="77" customFormat="false" ht="15" hidden="false" customHeight="false" outlineLevel="0" collapsed="false">
      <c r="A77" s="94" t="s">
        <v>1114</v>
      </c>
      <c r="B77" s="94" t="s">
        <v>1197</v>
      </c>
      <c r="C77" s="94" t="s">
        <v>207</v>
      </c>
      <c r="D77" s="94" t="s">
        <v>1184</v>
      </c>
      <c r="E77" s="94" t="s">
        <v>1185</v>
      </c>
      <c r="F77" s="94" t="s">
        <v>1186</v>
      </c>
    </row>
    <row r="78" customFormat="false" ht="15" hidden="false" customHeight="false" outlineLevel="0" collapsed="false">
      <c r="A78" s="94" t="s">
        <v>1114</v>
      </c>
      <c r="B78" s="94" t="s">
        <v>1198</v>
      </c>
      <c r="C78" s="94" t="s">
        <v>210</v>
      </c>
      <c r="D78" s="94" t="s">
        <v>1184</v>
      </c>
      <c r="E78" s="94" t="s">
        <v>1185</v>
      </c>
      <c r="F78" s="94" t="s">
        <v>1186</v>
      </c>
    </row>
    <row r="79" customFormat="false" ht="15" hidden="false" customHeight="false" outlineLevel="0" collapsed="false">
      <c r="A79" s="94" t="s">
        <v>1114</v>
      </c>
      <c r="B79" s="94" t="s">
        <v>1199</v>
      </c>
      <c r="C79" s="94" t="s">
        <v>212</v>
      </c>
      <c r="D79" s="94" t="s">
        <v>1184</v>
      </c>
      <c r="E79" s="94" t="s">
        <v>1185</v>
      </c>
      <c r="F79" s="94" t="s">
        <v>1186</v>
      </c>
    </row>
    <row r="80" customFormat="false" ht="15" hidden="false" customHeight="false" outlineLevel="0" collapsed="false">
      <c r="A80" s="94" t="s">
        <v>1114</v>
      </c>
      <c r="B80" s="94" t="s">
        <v>1200</v>
      </c>
      <c r="C80" s="94" t="s">
        <v>214</v>
      </c>
      <c r="D80" s="94" t="s">
        <v>1184</v>
      </c>
      <c r="E80" s="94" t="s">
        <v>1185</v>
      </c>
      <c r="F80" s="94" t="s">
        <v>1186</v>
      </c>
    </row>
    <row r="81" customFormat="false" ht="15" hidden="false" customHeight="false" outlineLevel="0" collapsed="false">
      <c r="A81" s="94" t="s">
        <v>1114</v>
      </c>
      <c r="B81" s="94" t="s">
        <v>1201</v>
      </c>
      <c r="C81" s="94" t="s">
        <v>216</v>
      </c>
      <c r="D81" s="94" t="s">
        <v>1184</v>
      </c>
      <c r="E81" s="94" t="s">
        <v>1185</v>
      </c>
      <c r="F81" s="94" t="s">
        <v>1186</v>
      </c>
    </row>
    <row r="82" customFormat="false" ht="15" hidden="false" customHeight="false" outlineLevel="0" collapsed="false">
      <c r="A82" s="94" t="s">
        <v>1114</v>
      </c>
      <c r="B82" s="94" t="s">
        <v>1202</v>
      </c>
      <c r="C82" s="94" t="s">
        <v>219</v>
      </c>
      <c r="D82" s="94" t="s">
        <v>1184</v>
      </c>
      <c r="E82" s="94" t="s">
        <v>1185</v>
      </c>
      <c r="F82" s="94" t="s">
        <v>1186</v>
      </c>
    </row>
    <row r="83" customFormat="false" ht="15" hidden="false" customHeight="false" outlineLevel="0" collapsed="false">
      <c r="A83" s="94" t="s">
        <v>1114</v>
      </c>
      <c r="B83" s="94" t="s">
        <v>1203</v>
      </c>
      <c r="C83" s="94" t="s">
        <v>222</v>
      </c>
      <c r="D83" s="94" t="s">
        <v>1184</v>
      </c>
      <c r="E83" s="94" t="s">
        <v>1185</v>
      </c>
      <c r="F83" s="94" t="s">
        <v>1186</v>
      </c>
    </row>
    <row r="84" customFormat="false" ht="15" hidden="false" customHeight="false" outlineLevel="0" collapsed="false">
      <c r="A84" s="94" t="s">
        <v>1114</v>
      </c>
      <c r="B84" s="94" t="s">
        <v>1204</v>
      </c>
      <c r="C84" s="94" t="s">
        <v>224</v>
      </c>
      <c r="D84" s="94" t="s">
        <v>1184</v>
      </c>
      <c r="E84" s="94" t="s">
        <v>1185</v>
      </c>
      <c r="F84" s="94" t="s">
        <v>1186</v>
      </c>
    </row>
    <row r="85" customFormat="false" ht="15" hidden="false" customHeight="false" outlineLevel="0" collapsed="false">
      <c r="A85" s="94" t="s">
        <v>1114</v>
      </c>
      <c r="B85" s="94" t="s">
        <v>1205</v>
      </c>
      <c r="C85" s="94" t="s">
        <v>225</v>
      </c>
      <c r="D85" s="94" t="s">
        <v>1184</v>
      </c>
      <c r="E85" s="94" t="s">
        <v>1185</v>
      </c>
      <c r="F85" s="94" t="s">
        <v>1186</v>
      </c>
    </row>
    <row r="86" customFormat="false" ht="15" hidden="false" customHeight="false" outlineLevel="0" collapsed="false">
      <c r="A86" s="94" t="s">
        <v>1114</v>
      </c>
      <c r="B86" s="94" t="s">
        <v>1206</v>
      </c>
      <c r="C86" s="94" t="s">
        <v>228</v>
      </c>
      <c r="D86" s="94" t="s">
        <v>1184</v>
      </c>
      <c r="E86" s="94" t="s">
        <v>1185</v>
      </c>
      <c r="F86" s="94" t="s">
        <v>1186</v>
      </c>
    </row>
    <row r="87" customFormat="false" ht="15" hidden="false" customHeight="false" outlineLevel="0" collapsed="false">
      <c r="A87" s="94" t="s">
        <v>1114</v>
      </c>
      <c r="B87" s="94" t="s">
        <v>1207</v>
      </c>
      <c r="C87" s="94" t="s">
        <v>231</v>
      </c>
      <c r="D87" s="94" t="s">
        <v>1184</v>
      </c>
      <c r="E87" s="94" t="s">
        <v>1185</v>
      </c>
      <c r="F87" s="94" t="s">
        <v>1186</v>
      </c>
    </row>
    <row r="88" customFormat="false" ht="15" hidden="false" customHeight="false" outlineLevel="0" collapsed="false">
      <c r="A88" s="94" t="s">
        <v>1114</v>
      </c>
      <c r="B88" s="94" t="s">
        <v>1208</v>
      </c>
      <c r="C88" s="94" t="s">
        <v>234</v>
      </c>
      <c r="D88" s="94" t="s">
        <v>1184</v>
      </c>
      <c r="E88" s="94" t="s">
        <v>1185</v>
      </c>
      <c r="F88" s="94" t="s">
        <v>1186</v>
      </c>
    </row>
    <row r="89" customFormat="false" ht="15" hidden="false" customHeight="false" outlineLevel="0" collapsed="false">
      <c r="A89" s="94" t="s">
        <v>1114</v>
      </c>
      <c r="B89" s="94" t="s">
        <v>1209</v>
      </c>
      <c r="C89" s="94" t="s">
        <v>236</v>
      </c>
      <c r="D89" s="94" t="s">
        <v>1184</v>
      </c>
      <c r="E89" s="94" t="s">
        <v>1185</v>
      </c>
      <c r="F89" s="94" t="s">
        <v>1186</v>
      </c>
    </row>
    <row r="90" customFormat="false" ht="15" hidden="false" customHeight="false" outlineLevel="0" collapsed="false">
      <c r="A90" s="94" t="s">
        <v>1114</v>
      </c>
      <c r="B90" s="94" t="s">
        <v>1210</v>
      </c>
      <c r="C90" s="94" t="s">
        <v>238</v>
      </c>
      <c r="D90" s="94" t="s">
        <v>1184</v>
      </c>
      <c r="E90" s="94" t="s">
        <v>1185</v>
      </c>
      <c r="F90" s="94" t="s">
        <v>1186</v>
      </c>
    </row>
    <row r="91" customFormat="false" ht="15" hidden="false" customHeight="false" outlineLevel="0" collapsed="false">
      <c r="A91" s="94" t="s">
        <v>1114</v>
      </c>
      <c r="B91" s="94" t="s">
        <v>1211</v>
      </c>
      <c r="C91" s="94" t="s">
        <v>239</v>
      </c>
      <c r="D91" s="94" t="s">
        <v>1184</v>
      </c>
      <c r="E91" s="94" t="s">
        <v>1185</v>
      </c>
      <c r="F91" s="94" t="s">
        <v>1186</v>
      </c>
    </row>
    <row r="92" customFormat="false" ht="15" hidden="false" customHeight="false" outlineLevel="0" collapsed="false">
      <c r="A92" s="94" t="s">
        <v>1114</v>
      </c>
      <c r="B92" s="94" t="s">
        <v>1212</v>
      </c>
      <c r="C92" s="94" t="s">
        <v>241</v>
      </c>
      <c r="D92" s="94" t="s">
        <v>1184</v>
      </c>
      <c r="E92" s="94" t="s">
        <v>1185</v>
      </c>
      <c r="F92" s="94" t="s">
        <v>1186</v>
      </c>
    </row>
    <row r="93" customFormat="false" ht="15" hidden="false" customHeight="false" outlineLevel="0" collapsed="false">
      <c r="A93" s="94" t="s">
        <v>1114</v>
      </c>
      <c r="B93" s="94" t="s">
        <v>1213</v>
      </c>
      <c r="C93" s="94" t="s">
        <v>244</v>
      </c>
      <c r="D93" s="94" t="s">
        <v>1184</v>
      </c>
      <c r="E93" s="94" t="s">
        <v>1185</v>
      </c>
      <c r="F93" s="94" t="s">
        <v>1186</v>
      </c>
    </row>
    <row r="94" customFormat="false" ht="15" hidden="false" customHeight="false" outlineLevel="0" collapsed="false">
      <c r="A94" s="94" t="s">
        <v>1114</v>
      </c>
      <c r="B94" s="94" t="s">
        <v>1214</v>
      </c>
      <c r="C94" s="94" t="s">
        <v>246</v>
      </c>
      <c r="D94" s="94" t="s">
        <v>1184</v>
      </c>
      <c r="E94" s="94" t="s">
        <v>1185</v>
      </c>
      <c r="F94" s="94" t="s">
        <v>1186</v>
      </c>
    </row>
    <row r="95" customFormat="false" ht="15" hidden="false" customHeight="false" outlineLevel="0" collapsed="false">
      <c r="A95" s="94" t="s">
        <v>1114</v>
      </c>
      <c r="B95" s="94" t="s">
        <v>1215</v>
      </c>
      <c r="C95" s="94" t="s">
        <v>248</v>
      </c>
      <c r="D95" s="94" t="s">
        <v>1184</v>
      </c>
      <c r="E95" s="94" t="s">
        <v>1185</v>
      </c>
      <c r="F95" s="94" t="s">
        <v>1186</v>
      </c>
    </row>
    <row r="96" customFormat="false" ht="15" hidden="false" customHeight="false" outlineLevel="0" collapsed="false">
      <c r="A96" s="94" t="s">
        <v>1114</v>
      </c>
      <c r="B96" s="94" t="s">
        <v>1216</v>
      </c>
      <c r="C96" s="94" t="s">
        <v>249</v>
      </c>
      <c r="D96" s="94" t="s">
        <v>1184</v>
      </c>
      <c r="E96" s="94" t="s">
        <v>1185</v>
      </c>
      <c r="F96" s="94" t="s">
        <v>1186</v>
      </c>
    </row>
    <row r="97" customFormat="false" ht="15" hidden="false" customHeight="false" outlineLevel="0" collapsed="false">
      <c r="A97" s="94" t="s">
        <v>1114</v>
      </c>
      <c r="B97" s="94" t="s">
        <v>1217</v>
      </c>
      <c r="C97" s="94" t="s">
        <v>251</v>
      </c>
      <c r="D97" s="94" t="s">
        <v>1184</v>
      </c>
      <c r="E97" s="94" t="s">
        <v>1185</v>
      </c>
      <c r="F97" s="94" t="s">
        <v>1186</v>
      </c>
    </row>
    <row r="98" customFormat="false" ht="15" hidden="false" customHeight="false" outlineLevel="0" collapsed="false">
      <c r="A98" s="94" t="s">
        <v>1114</v>
      </c>
      <c r="B98" s="94" t="s">
        <v>1218</v>
      </c>
      <c r="C98" s="94" t="s">
        <v>253</v>
      </c>
      <c r="D98" s="94" t="s">
        <v>1184</v>
      </c>
      <c r="E98" s="94" t="s">
        <v>1185</v>
      </c>
      <c r="F98" s="94" t="s">
        <v>1186</v>
      </c>
    </row>
    <row r="99" customFormat="false" ht="15" hidden="false" customHeight="false" outlineLevel="0" collapsed="false">
      <c r="A99" s="94" t="s">
        <v>1114</v>
      </c>
      <c r="B99" s="94" t="s">
        <v>1219</v>
      </c>
      <c r="C99" s="94" t="s">
        <v>255</v>
      </c>
      <c r="D99" s="94" t="s">
        <v>1184</v>
      </c>
      <c r="E99" s="94" t="s">
        <v>1185</v>
      </c>
      <c r="F99" s="94" t="s">
        <v>1186</v>
      </c>
    </row>
    <row r="100" customFormat="false" ht="15" hidden="false" customHeight="false" outlineLevel="0" collapsed="false">
      <c r="A100" s="94" t="s">
        <v>1114</v>
      </c>
      <c r="B100" s="94" t="s">
        <v>1220</v>
      </c>
      <c r="C100" s="94" t="s">
        <v>256</v>
      </c>
      <c r="D100" s="94" t="s">
        <v>1184</v>
      </c>
      <c r="E100" s="94" t="s">
        <v>1185</v>
      </c>
      <c r="F100" s="94" t="s">
        <v>1186</v>
      </c>
    </row>
    <row r="101" customFormat="false" ht="15" hidden="false" customHeight="false" outlineLevel="0" collapsed="false">
      <c r="A101" s="94" t="s">
        <v>1114</v>
      </c>
      <c r="B101" s="94" t="s">
        <v>1221</v>
      </c>
      <c r="C101" s="94" t="s">
        <v>258</v>
      </c>
      <c r="D101" s="94" t="s">
        <v>1184</v>
      </c>
      <c r="E101" s="94" t="s">
        <v>1185</v>
      </c>
      <c r="F101" s="94" t="s">
        <v>1186</v>
      </c>
    </row>
    <row r="102" customFormat="false" ht="15" hidden="false" customHeight="false" outlineLevel="0" collapsed="false">
      <c r="A102" s="94" t="s">
        <v>1114</v>
      </c>
      <c r="B102" s="94" t="s">
        <v>1222</v>
      </c>
      <c r="C102" s="94" t="s">
        <v>259</v>
      </c>
      <c r="D102" s="94" t="s">
        <v>1184</v>
      </c>
      <c r="E102" s="94" t="s">
        <v>1185</v>
      </c>
      <c r="F102" s="94" t="s">
        <v>1186</v>
      </c>
    </row>
    <row r="103" customFormat="false" ht="15" hidden="false" customHeight="false" outlineLevel="0" collapsed="false">
      <c r="A103" s="94" t="s">
        <v>1114</v>
      </c>
      <c r="B103" s="94" t="s">
        <v>1223</v>
      </c>
      <c r="C103" s="94" t="s">
        <v>261</v>
      </c>
      <c r="D103" s="94" t="s">
        <v>1184</v>
      </c>
      <c r="E103" s="94" t="s">
        <v>1185</v>
      </c>
      <c r="F103" s="94" t="s">
        <v>1186</v>
      </c>
    </row>
    <row r="104" customFormat="false" ht="15" hidden="false" customHeight="false" outlineLevel="0" collapsed="false">
      <c r="A104" s="94" t="s">
        <v>1114</v>
      </c>
      <c r="B104" s="94" t="s">
        <v>1224</v>
      </c>
      <c r="C104" s="94" t="s">
        <v>263</v>
      </c>
      <c r="D104" s="94" t="s">
        <v>1184</v>
      </c>
      <c r="E104" s="94" t="s">
        <v>1185</v>
      </c>
      <c r="F104" s="94" t="s">
        <v>1186</v>
      </c>
    </row>
    <row r="105" customFormat="false" ht="15" hidden="false" customHeight="false" outlineLevel="0" collapsed="false">
      <c r="A105" s="94" t="s">
        <v>1114</v>
      </c>
      <c r="B105" s="94" t="s">
        <v>1225</v>
      </c>
      <c r="C105" s="94" t="s">
        <v>265</v>
      </c>
      <c r="D105" s="94" t="s">
        <v>1184</v>
      </c>
      <c r="E105" s="94" t="s">
        <v>1185</v>
      </c>
      <c r="F105" s="94" t="s">
        <v>1186</v>
      </c>
    </row>
    <row r="106" customFormat="false" ht="15" hidden="false" customHeight="false" outlineLevel="0" collapsed="false">
      <c r="A106" s="94" t="s">
        <v>1114</v>
      </c>
      <c r="B106" s="94" t="s">
        <v>1226</v>
      </c>
      <c r="C106" s="94" t="s">
        <v>267</v>
      </c>
      <c r="D106" s="94" t="s">
        <v>1184</v>
      </c>
      <c r="E106" s="94" t="s">
        <v>1185</v>
      </c>
      <c r="F106" s="94" t="s">
        <v>1186</v>
      </c>
    </row>
    <row r="107" customFormat="false" ht="15" hidden="false" customHeight="false" outlineLevel="0" collapsed="false">
      <c r="A107" s="94" t="s">
        <v>1114</v>
      </c>
      <c r="B107" s="94" t="s">
        <v>1227</v>
      </c>
      <c r="C107" s="94" t="s">
        <v>269</v>
      </c>
      <c r="D107" s="94" t="s">
        <v>1184</v>
      </c>
      <c r="E107" s="94" t="s">
        <v>1185</v>
      </c>
      <c r="F107" s="94" t="s">
        <v>1186</v>
      </c>
    </row>
    <row r="108" customFormat="false" ht="15" hidden="false" customHeight="false" outlineLevel="0" collapsed="false">
      <c r="A108" s="94" t="s">
        <v>1114</v>
      </c>
      <c r="B108" s="94" t="s">
        <v>1228</v>
      </c>
      <c r="C108" s="94" t="s">
        <v>270</v>
      </c>
      <c r="D108" s="94" t="s">
        <v>1184</v>
      </c>
      <c r="E108" s="94" t="s">
        <v>1185</v>
      </c>
      <c r="F108" s="94" t="s">
        <v>1186</v>
      </c>
    </row>
    <row r="109" customFormat="false" ht="15" hidden="false" customHeight="false" outlineLevel="0" collapsed="false">
      <c r="A109" s="94" t="s">
        <v>1114</v>
      </c>
      <c r="B109" s="94" t="s">
        <v>1229</v>
      </c>
      <c r="C109" s="94" t="s">
        <v>272</v>
      </c>
      <c r="D109" s="94" t="s">
        <v>1184</v>
      </c>
      <c r="E109" s="94" t="s">
        <v>1185</v>
      </c>
      <c r="F109" s="94" t="s">
        <v>1186</v>
      </c>
    </row>
    <row r="110" customFormat="false" ht="15" hidden="false" customHeight="false" outlineLevel="0" collapsed="false">
      <c r="A110" s="94" t="s">
        <v>1114</v>
      </c>
      <c r="B110" s="94" t="s">
        <v>1230</v>
      </c>
      <c r="C110" s="94" t="s">
        <v>274</v>
      </c>
      <c r="D110" s="94" t="s">
        <v>1184</v>
      </c>
      <c r="E110" s="94" t="s">
        <v>1185</v>
      </c>
      <c r="F110" s="94" t="s">
        <v>1186</v>
      </c>
    </row>
    <row r="111" customFormat="false" ht="15" hidden="false" customHeight="false" outlineLevel="0" collapsed="false">
      <c r="A111" s="94" t="s">
        <v>1114</v>
      </c>
      <c r="B111" s="94" t="s">
        <v>1231</v>
      </c>
      <c r="C111" s="94" t="s">
        <v>276</v>
      </c>
      <c r="D111" s="94" t="s">
        <v>1184</v>
      </c>
      <c r="E111" s="94" t="s">
        <v>1185</v>
      </c>
      <c r="F111" s="94" t="s">
        <v>1186</v>
      </c>
    </row>
    <row r="112" customFormat="false" ht="15" hidden="false" customHeight="false" outlineLevel="0" collapsed="false">
      <c r="A112" s="94" t="s">
        <v>1114</v>
      </c>
      <c r="B112" s="94" t="s">
        <v>1232</v>
      </c>
      <c r="C112" s="94" t="s">
        <v>279</v>
      </c>
      <c r="D112" s="94" t="s">
        <v>1184</v>
      </c>
      <c r="E112" s="94" t="s">
        <v>1185</v>
      </c>
      <c r="F112" s="94" t="s">
        <v>1186</v>
      </c>
    </row>
    <row r="113" customFormat="false" ht="15" hidden="false" customHeight="false" outlineLevel="0" collapsed="false">
      <c r="A113" s="94" t="s">
        <v>1114</v>
      </c>
      <c r="B113" s="94" t="s">
        <v>1233</v>
      </c>
      <c r="C113" s="94" t="s">
        <v>282</v>
      </c>
      <c r="D113" s="94" t="s">
        <v>1184</v>
      </c>
      <c r="E113" s="94" t="s">
        <v>1185</v>
      </c>
      <c r="F113" s="94" t="s">
        <v>1186</v>
      </c>
    </row>
    <row r="114" customFormat="false" ht="15" hidden="false" customHeight="false" outlineLevel="0" collapsed="false">
      <c r="A114" s="94" t="s">
        <v>1114</v>
      </c>
      <c r="B114" s="94" t="s">
        <v>1234</v>
      </c>
      <c r="C114" s="94" t="s">
        <v>285</v>
      </c>
      <c r="D114" s="94" t="s">
        <v>1184</v>
      </c>
      <c r="E114" s="94" t="s">
        <v>1185</v>
      </c>
      <c r="F114" s="94" t="s">
        <v>1186</v>
      </c>
    </row>
    <row r="115" customFormat="false" ht="15" hidden="false" customHeight="false" outlineLevel="0" collapsed="false">
      <c r="A115" s="94" t="s">
        <v>1114</v>
      </c>
      <c r="B115" s="94" t="s">
        <v>1235</v>
      </c>
      <c r="C115" s="94" t="s">
        <v>288</v>
      </c>
      <c r="D115" s="94" t="s">
        <v>1184</v>
      </c>
      <c r="E115" s="94" t="s">
        <v>1185</v>
      </c>
      <c r="F115" s="94" t="s">
        <v>1186</v>
      </c>
    </row>
    <row r="116" customFormat="false" ht="15" hidden="false" customHeight="false" outlineLevel="0" collapsed="false">
      <c r="A116" s="94" t="s">
        <v>1114</v>
      </c>
      <c r="B116" s="94" t="s">
        <v>1236</v>
      </c>
      <c r="C116" s="94" t="s">
        <v>291</v>
      </c>
      <c r="D116" s="94" t="s">
        <v>1184</v>
      </c>
      <c r="E116" s="94" t="s">
        <v>1185</v>
      </c>
      <c r="F116" s="94" t="s">
        <v>1186</v>
      </c>
    </row>
    <row r="117" customFormat="false" ht="15" hidden="false" customHeight="false" outlineLevel="0" collapsed="false">
      <c r="A117" s="94" t="s">
        <v>1114</v>
      </c>
      <c r="B117" s="94" t="s">
        <v>1237</v>
      </c>
      <c r="C117" s="94" t="s">
        <v>295</v>
      </c>
      <c r="D117" s="94" t="s">
        <v>1184</v>
      </c>
      <c r="E117" s="94" t="s">
        <v>1185</v>
      </c>
      <c r="F117" s="94" t="s">
        <v>1186</v>
      </c>
    </row>
    <row r="118" customFormat="false" ht="15" hidden="false" customHeight="false" outlineLevel="0" collapsed="false">
      <c r="A118" s="94" t="s">
        <v>1114</v>
      </c>
      <c r="B118" s="94" t="s">
        <v>1238</v>
      </c>
      <c r="C118" s="94" t="s">
        <v>297</v>
      </c>
      <c r="D118" s="94" t="s">
        <v>1184</v>
      </c>
      <c r="E118" s="94" t="s">
        <v>1185</v>
      </c>
      <c r="F118" s="94" t="s">
        <v>1186</v>
      </c>
    </row>
    <row r="119" customFormat="false" ht="15" hidden="false" customHeight="false" outlineLevel="0" collapsed="false">
      <c r="A119" s="94" t="s">
        <v>1114</v>
      </c>
      <c r="B119" s="94" t="s">
        <v>1239</v>
      </c>
      <c r="C119" s="94" t="s">
        <v>299</v>
      </c>
      <c r="D119" s="94" t="s">
        <v>1184</v>
      </c>
      <c r="E119" s="94" t="s">
        <v>1185</v>
      </c>
      <c r="F119" s="94" t="s">
        <v>1186</v>
      </c>
    </row>
    <row r="120" customFormat="false" ht="15" hidden="false" customHeight="false" outlineLevel="0" collapsed="false">
      <c r="A120" s="94" t="s">
        <v>1114</v>
      </c>
      <c r="B120" s="94" t="s">
        <v>1240</v>
      </c>
      <c r="C120" s="94" t="s">
        <v>301</v>
      </c>
      <c r="D120" s="94" t="s">
        <v>1184</v>
      </c>
      <c r="E120" s="94" t="s">
        <v>1185</v>
      </c>
      <c r="F120" s="94" t="s">
        <v>1186</v>
      </c>
    </row>
    <row r="121" customFormat="false" ht="15" hidden="false" customHeight="false" outlineLevel="0" collapsed="false">
      <c r="A121" s="94" t="s">
        <v>1114</v>
      </c>
      <c r="B121" s="94" t="s">
        <v>1241</v>
      </c>
      <c r="C121" s="94" t="s">
        <v>304</v>
      </c>
      <c r="D121" s="94" t="s">
        <v>1184</v>
      </c>
      <c r="E121" s="94" t="s">
        <v>1185</v>
      </c>
      <c r="F121" s="94" t="s">
        <v>1186</v>
      </c>
    </row>
    <row r="122" customFormat="false" ht="15" hidden="false" customHeight="false" outlineLevel="0" collapsed="false">
      <c r="A122" s="94" t="s">
        <v>1114</v>
      </c>
      <c r="B122" s="94" t="s">
        <v>1242</v>
      </c>
      <c r="C122" s="94" t="s">
        <v>305</v>
      </c>
      <c r="D122" s="94" t="s">
        <v>1184</v>
      </c>
      <c r="E122" s="94" t="s">
        <v>1185</v>
      </c>
      <c r="F122" s="94" t="s">
        <v>1186</v>
      </c>
    </row>
    <row r="123" customFormat="false" ht="15" hidden="false" customHeight="false" outlineLevel="0" collapsed="false">
      <c r="A123" s="94" t="s">
        <v>1114</v>
      </c>
      <c r="B123" s="94" t="s">
        <v>1243</v>
      </c>
      <c r="C123" s="94" t="s">
        <v>307</v>
      </c>
      <c r="D123" s="94" t="s">
        <v>1184</v>
      </c>
      <c r="E123" s="94" t="s">
        <v>1185</v>
      </c>
      <c r="F123" s="94" t="s">
        <v>1186</v>
      </c>
    </row>
    <row r="124" customFormat="false" ht="15" hidden="false" customHeight="false" outlineLevel="0" collapsed="false">
      <c r="A124" s="94" t="s">
        <v>1114</v>
      </c>
      <c r="B124" s="94" t="s">
        <v>1244</v>
      </c>
      <c r="C124" s="94" t="s">
        <v>309</v>
      </c>
      <c r="D124" s="94" t="s">
        <v>1184</v>
      </c>
      <c r="E124" s="94" t="s">
        <v>1185</v>
      </c>
      <c r="F124" s="94" t="s">
        <v>1186</v>
      </c>
    </row>
    <row r="125" customFormat="false" ht="15" hidden="false" customHeight="false" outlineLevel="0" collapsed="false">
      <c r="A125" s="94" t="s">
        <v>1114</v>
      </c>
      <c r="B125" s="94" t="s">
        <v>1245</v>
      </c>
      <c r="C125" s="94" t="s">
        <v>311</v>
      </c>
      <c r="D125" s="94" t="s">
        <v>1184</v>
      </c>
      <c r="E125" s="94" t="s">
        <v>1185</v>
      </c>
      <c r="F125" s="94" t="s">
        <v>1186</v>
      </c>
    </row>
    <row r="126" customFormat="false" ht="15" hidden="false" customHeight="false" outlineLevel="0" collapsed="false">
      <c r="A126" s="94" t="s">
        <v>1114</v>
      </c>
      <c r="B126" s="94" t="s">
        <v>1246</v>
      </c>
      <c r="C126" s="94" t="s">
        <v>313</v>
      </c>
      <c r="D126" s="94" t="s">
        <v>1184</v>
      </c>
      <c r="E126" s="94" t="s">
        <v>1185</v>
      </c>
      <c r="F126" s="94" t="s">
        <v>1186</v>
      </c>
    </row>
    <row r="127" customFormat="false" ht="15" hidden="false" customHeight="false" outlineLevel="0" collapsed="false">
      <c r="A127" s="94" t="s">
        <v>1114</v>
      </c>
      <c r="B127" s="94" t="s">
        <v>1247</v>
      </c>
      <c r="C127" s="94" t="s">
        <v>315</v>
      </c>
      <c r="D127" s="94" t="s">
        <v>1184</v>
      </c>
      <c r="E127" s="94" t="s">
        <v>1185</v>
      </c>
      <c r="F127" s="94" t="s">
        <v>1186</v>
      </c>
    </row>
    <row r="128" customFormat="false" ht="15" hidden="false" customHeight="false" outlineLevel="0" collapsed="false">
      <c r="A128" s="94" t="s">
        <v>1114</v>
      </c>
      <c r="B128" s="94" t="s">
        <v>1248</v>
      </c>
      <c r="C128" s="94" t="s">
        <v>317</v>
      </c>
      <c r="D128" s="94" t="s">
        <v>1184</v>
      </c>
      <c r="E128" s="94" t="s">
        <v>1185</v>
      </c>
      <c r="F128" s="94" t="s">
        <v>1186</v>
      </c>
    </row>
    <row r="129" customFormat="false" ht="15" hidden="false" customHeight="false" outlineLevel="0" collapsed="false">
      <c r="A129" s="94" t="s">
        <v>1114</v>
      </c>
      <c r="B129" s="94" t="s">
        <v>1249</v>
      </c>
      <c r="C129" s="94" t="s">
        <v>319</v>
      </c>
      <c r="D129" s="94" t="s">
        <v>1184</v>
      </c>
      <c r="E129" s="94" t="s">
        <v>1185</v>
      </c>
      <c r="F129" s="94" t="s">
        <v>1186</v>
      </c>
    </row>
    <row r="130" customFormat="false" ht="15" hidden="false" customHeight="false" outlineLevel="0" collapsed="false">
      <c r="A130" s="94" t="s">
        <v>1114</v>
      </c>
      <c r="B130" s="94" t="s">
        <v>1250</v>
      </c>
      <c r="C130" s="94" t="s">
        <v>321</v>
      </c>
      <c r="D130" s="94" t="s">
        <v>1184</v>
      </c>
      <c r="E130" s="94" t="s">
        <v>1185</v>
      </c>
      <c r="F130" s="94" t="s">
        <v>1186</v>
      </c>
    </row>
    <row r="131" customFormat="false" ht="15" hidden="false" customHeight="false" outlineLevel="0" collapsed="false">
      <c r="A131" s="94" t="s">
        <v>1114</v>
      </c>
      <c r="B131" s="94" t="s">
        <v>1251</v>
      </c>
      <c r="C131" s="94" t="s">
        <v>324</v>
      </c>
      <c r="D131" s="94" t="s">
        <v>1184</v>
      </c>
      <c r="E131" s="94" t="s">
        <v>1185</v>
      </c>
      <c r="F131" s="94" t="s">
        <v>1186</v>
      </c>
    </row>
    <row r="132" customFormat="false" ht="15" hidden="false" customHeight="false" outlineLevel="0" collapsed="false">
      <c r="A132" s="94" t="s">
        <v>1114</v>
      </c>
      <c r="B132" s="94" t="s">
        <v>1252</v>
      </c>
      <c r="C132" s="94" t="s">
        <v>327</v>
      </c>
      <c r="D132" s="94" t="s">
        <v>1184</v>
      </c>
      <c r="E132" s="94" t="s">
        <v>1185</v>
      </c>
      <c r="F132" s="94" t="s">
        <v>1186</v>
      </c>
    </row>
    <row r="133" customFormat="false" ht="15" hidden="false" customHeight="false" outlineLevel="0" collapsed="false">
      <c r="A133" s="94" t="s">
        <v>1114</v>
      </c>
      <c r="B133" s="94" t="s">
        <v>1253</v>
      </c>
      <c r="C133" s="94" t="s">
        <v>329</v>
      </c>
      <c r="D133" s="94" t="s">
        <v>1184</v>
      </c>
      <c r="E133" s="94" t="s">
        <v>1185</v>
      </c>
      <c r="F133" s="94" t="s">
        <v>1186</v>
      </c>
    </row>
    <row r="134" customFormat="false" ht="15" hidden="false" customHeight="false" outlineLevel="0" collapsed="false">
      <c r="A134" s="94" t="s">
        <v>1114</v>
      </c>
      <c r="B134" s="94" t="s">
        <v>1254</v>
      </c>
      <c r="C134" s="94" t="s">
        <v>331</v>
      </c>
      <c r="D134" s="94" t="s">
        <v>1184</v>
      </c>
      <c r="E134" s="94" t="s">
        <v>1185</v>
      </c>
      <c r="F134" s="94" t="s">
        <v>1186</v>
      </c>
    </row>
    <row r="135" customFormat="false" ht="15" hidden="false" customHeight="false" outlineLevel="0" collapsed="false">
      <c r="A135" s="94" t="s">
        <v>1114</v>
      </c>
      <c r="B135" s="94" t="s">
        <v>1255</v>
      </c>
      <c r="C135" s="94" t="s">
        <v>333</v>
      </c>
      <c r="D135" s="94" t="s">
        <v>1184</v>
      </c>
      <c r="E135" s="94" t="s">
        <v>1185</v>
      </c>
      <c r="F135" s="94" t="s">
        <v>1186</v>
      </c>
    </row>
    <row r="136" customFormat="false" ht="15" hidden="false" customHeight="false" outlineLevel="0" collapsed="false">
      <c r="A136" s="94" t="s">
        <v>1114</v>
      </c>
      <c r="B136" s="94" t="s">
        <v>1256</v>
      </c>
      <c r="C136" s="94" t="s">
        <v>336</v>
      </c>
      <c r="D136" s="94" t="s">
        <v>1184</v>
      </c>
      <c r="E136" s="94" t="s">
        <v>1185</v>
      </c>
      <c r="F136" s="94" t="s">
        <v>1186</v>
      </c>
    </row>
    <row r="137" customFormat="false" ht="15" hidden="false" customHeight="false" outlineLevel="0" collapsed="false">
      <c r="A137" s="94" t="s">
        <v>1114</v>
      </c>
      <c r="B137" s="94" t="s">
        <v>1257</v>
      </c>
      <c r="C137" s="94" t="s">
        <v>338</v>
      </c>
      <c r="D137" s="94" t="s">
        <v>1184</v>
      </c>
      <c r="E137" s="94" t="s">
        <v>1185</v>
      </c>
      <c r="F137" s="94" t="s">
        <v>1186</v>
      </c>
    </row>
    <row r="138" customFormat="false" ht="15" hidden="false" customHeight="false" outlineLevel="0" collapsed="false">
      <c r="A138" s="94" t="s">
        <v>1114</v>
      </c>
      <c r="B138" s="94" t="s">
        <v>1258</v>
      </c>
      <c r="C138" s="94" t="s">
        <v>340</v>
      </c>
      <c r="D138" s="94" t="s">
        <v>1184</v>
      </c>
      <c r="E138" s="94" t="s">
        <v>1185</v>
      </c>
      <c r="F138" s="94" t="s">
        <v>1186</v>
      </c>
    </row>
    <row r="139" customFormat="false" ht="15" hidden="false" customHeight="false" outlineLevel="0" collapsed="false">
      <c r="A139" s="94" t="s">
        <v>1114</v>
      </c>
      <c r="B139" s="94" t="s">
        <v>1259</v>
      </c>
      <c r="C139" s="94" t="s">
        <v>341</v>
      </c>
      <c r="D139" s="94" t="s">
        <v>1184</v>
      </c>
      <c r="E139" s="94" t="s">
        <v>1185</v>
      </c>
      <c r="F139" s="94" t="s">
        <v>1186</v>
      </c>
    </row>
    <row r="140" customFormat="false" ht="15" hidden="false" customHeight="false" outlineLevel="0" collapsed="false">
      <c r="A140" s="94" t="s">
        <v>1114</v>
      </c>
      <c r="B140" s="94" t="s">
        <v>1260</v>
      </c>
      <c r="C140" s="94" t="s">
        <v>343</v>
      </c>
      <c r="D140" s="94" t="s">
        <v>1184</v>
      </c>
      <c r="E140" s="94" t="s">
        <v>1185</v>
      </c>
      <c r="F140" s="94" t="s">
        <v>1186</v>
      </c>
    </row>
    <row r="141" customFormat="false" ht="15" hidden="false" customHeight="false" outlineLevel="0" collapsed="false">
      <c r="A141" s="94" t="s">
        <v>1114</v>
      </c>
      <c r="B141" s="94" t="s">
        <v>1261</v>
      </c>
      <c r="C141" s="94" t="s">
        <v>345</v>
      </c>
      <c r="D141" s="94" t="s">
        <v>1184</v>
      </c>
      <c r="E141" s="94" t="s">
        <v>1185</v>
      </c>
      <c r="F141" s="94" t="s">
        <v>1186</v>
      </c>
    </row>
    <row r="142" customFormat="false" ht="15" hidden="false" customHeight="false" outlineLevel="0" collapsed="false">
      <c r="A142" s="94" t="s">
        <v>1114</v>
      </c>
      <c r="B142" s="94" t="s">
        <v>1262</v>
      </c>
      <c r="C142" s="94" t="s">
        <v>347</v>
      </c>
      <c r="D142" s="94" t="s">
        <v>1184</v>
      </c>
      <c r="E142" s="94" t="s">
        <v>1185</v>
      </c>
      <c r="F142" s="94" t="s">
        <v>1186</v>
      </c>
    </row>
    <row r="143" customFormat="false" ht="15" hidden="false" customHeight="false" outlineLevel="0" collapsed="false">
      <c r="A143" s="94" t="s">
        <v>1114</v>
      </c>
      <c r="B143" s="94" t="s">
        <v>1263</v>
      </c>
      <c r="C143" s="94" t="s">
        <v>350</v>
      </c>
      <c r="D143" s="94" t="s">
        <v>1184</v>
      </c>
      <c r="E143" s="94" t="s">
        <v>1185</v>
      </c>
      <c r="F143" s="94" t="s">
        <v>1186</v>
      </c>
    </row>
    <row r="144" customFormat="false" ht="15" hidden="false" customHeight="false" outlineLevel="0" collapsed="false">
      <c r="A144" s="94" t="s">
        <v>1114</v>
      </c>
      <c r="B144" s="94" t="s">
        <v>1264</v>
      </c>
      <c r="C144" s="94" t="s">
        <v>352</v>
      </c>
      <c r="D144" s="94" t="s">
        <v>1184</v>
      </c>
      <c r="E144" s="94" t="s">
        <v>1185</v>
      </c>
      <c r="F144" s="94" t="s">
        <v>1186</v>
      </c>
    </row>
    <row r="145" customFormat="false" ht="15" hidden="false" customHeight="false" outlineLevel="0" collapsed="false">
      <c r="A145" s="94" t="s">
        <v>1114</v>
      </c>
      <c r="B145" s="94" t="s">
        <v>1265</v>
      </c>
      <c r="C145" s="94" t="s">
        <v>354</v>
      </c>
      <c r="D145" s="94" t="s">
        <v>1184</v>
      </c>
      <c r="E145" s="94" t="s">
        <v>1185</v>
      </c>
      <c r="F145" s="94" t="s">
        <v>1186</v>
      </c>
    </row>
    <row r="146" customFormat="false" ht="15" hidden="false" customHeight="false" outlineLevel="0" collapsed="false">
      <c r="A146" s="94" t="s">
        <v>1114</v>
      </c>
      <c r="B146" s="94" t="s">
        <v>1266</v>
      </c>
      <c r="C146" s="94" t="s">
        <v>355</v>
      </c>
      <c r="D146" s="94" t="s">
        <v>1184</v>
      </c>
      <c r="E146" s="94" t="s">
        <v>1185</v>
      </c>
      <c r="F146" s="94" t="s">
        <v>1186</v>
      </c>
    </row>
    <row r="147" customFormat="false" ht="15" hidden="false" customHeight="false" outlineLevel="0" collapsed="false">
      <c r="A147" s="94" t="s">
        <v>1114</v>
      </c>
      <c r="B147" s="94" t="s">
        <v>1267</v>
      </c>
      <c r="C147" s="94" t="s">
        <v>357</v>
      </c>
      <c r="D147" s="94" t="s">
        <v>1184</v>
      </c>
      <c r="E147" s="94" t="s">
        <v>1185</v>
      </c>
      <c r="F147" s="94" t="s">
        <v>1186</v>
      </c>
    </row>
    <row r="148" customFormat="false" ht="15" hidden="false" customHeight="false" outlineLevel="0" collapsed="false">
      <c r="A148" s="94" t="s">
        <v>1114</v>
      </c>
      <c r="B148" s="94" t="s">
        <v>1268</v>
      </c>
      <c r="C148" s="94" t="s">
        <v>359</v>
      </c>
      <c r="D148" s="94" t="s">
        <v>1184</v>
      </c>
      <c r="E148" s="94" t="s">
        <v>1185</v>
      </c>
      <c r="F148" s="94" t="s">
        <v>1186</v>
      </c>
    </row>
    <row r="149" customFormat="false" ht="15" hidden="false" customHeight="false" outlineLevel="0" collapsed="false">
      <c r="A149" s="94" t="s">
        <v>1114</v>
      </c>
      <c r="B149" s="94" t="s">
        <v>1269</v>
      </c>
      <c r="C149" s="94" t="s">
        <v>362</v>
      </c>
      <c r="D149" s="94" t="s">
        <v>1184</v>
      </c>
      <c r="E149" s="94" t="s">
        <v>1185</v>
      </c>
      <c r="F149" s="94" t="s">
        <v>1186</v>
      </c>
    </row>
    <row r="150" customFormat="false" ht="15" hidden="false" customHeight="false" outlineLevel="0" collapsed="false">
      <c r="A150" s="94" t="s">
        <v>1114</v>
      </c>
      <c r="B150" s="94" t="s">
        <v>1270</v>
      </c>
      <c r="C150" s="94" t="s">
        <v>365</v>
      </c>
      <c r="D150" s="94" t="s">
        <v>1184</v>
      </c>
      <c r="E150" s="94" t="s">
        <v>1185</v>
      </c>
      <c r="F150" s="94" t="s">
        <v>1186</v>
      </c>
    </row>
    <row r="151" customFormat="false" ht="15" hidden="false" customHeight="false" outlineLevel="0" collapsed="false">
      <c r="A151" s="94" t="s">
        <v>1114</v>
      </c>
      <c r="B151" s="94" t="s">
        <v>1271</v>
      </c>
      <c r="C151" s="94" t="s">
        <v>366</v>
      </c>
      <c r="D151" s="94" t="s">
        <v>1184</v>
      </c>
      <c r="E151" s="94" t="s">
        <v>1185</v>
      </c>
      <c r="F151" s="94" t="s">
        <v>1186</v>
      </c>
    </row>
    <row r="152" customFormat="false" ht="15" hidden="false" customHeight="false" outlineLevel="0" collapsed="false">
      <c r="A152" s="94" t="s">
        <v>1114</v>
      </c>
      <c r="B152" s="94" t="s">
        <v>1272</v>
      </c>
      <c r="C152" s="94" t="s">
        <v>369</v>
      </c>
      <c r="D152" s="94" t="s">
        <v>1184</v>
      </c>
      <c r="E152" s="94" t="s">
        <v>1185</v>
      </c>
      <c r="F152" s="94" t="s">
        <v>1186</v>
      </c>
    </row>
    <row r="153" customFormat="false" ht="15" hidden="false" customHeight="false" outlineLevel="0" collapsed="false">
      <c r="A153" s="94" t="s">
        <v>1114</v>
      </c>
      <c r="B153" s="94" t="s">
        <v>1273</v>
      </c>
      <c r="C153" s="94" t="s">
        <v>372</v>
      </c>
      <c r="D153" s="94" t="s">
        <v>1184</v>
      </c>
      <c r="E153" s="94" t="s">
        <v>1185</v>
      </c>
      <c r="F153" s="94" t="s">
        <v>1186</v>
      </c>
    </row>
    <row r="154" customFormat="false" ht="22.35" hidden="false" customHeight="false" outlineLevel="0" collapsed="false">
      <c r="A154" s="44" t="s">
        <v>1274</v>
      </c>
      <c r="B154" s="44" t="s">
        <v>1275</v>
      </c>
      <c r="C154" s="44" t="s">
        <v>385</v>
      </c>
      <c r="D154" s="44" t="s">
        <v>1276</v>
      </c>
      <c r="E154" s="44" t="s">
        <v>387</v>
      </c>
      <c r="F154" s="44" t="s">
        <v>1129</v>
      </c>
    </row>
    <row r="155" customFormat="false" ht="15" hidden="false" customHeight="false" outlineLevel="0" collapsed="false">
      <c r="A155" s="44" t="s">
        <v>1274</v>
      </c>
      <c r="B155" s="44" t="s">
        <v>1277</v>
      </c>
      <c r="C155" s="44" t="s">
        <v>388</v>
      </c>
      <c r="D155" s="44" t="s">
        <v>1278</v>
      </c>
      <c r="E155" s="44" t="s">
        <v>1279</v>
      </c>
      <c r="F155" s="44" t="s">
        <v>1120</v>
      </c>
    </row>
    <row r="156" customFormat="false" ht="15" hidden="false" customHeight="false" outlineLevel="0" collapsed="false">
      <c r="A156" s="44" t="s">
        <v>1274</v>
      </c>
      <c r="B156" s="44" t="s">
        <v>1280</v>
      </c>
      <c r="C156" s="44" t="s">
        <v>388</v>
      </c>
      <c r="D156" s="44" t="s">
        <v>1279</v>
      </c>
      <c r="E156" s="44" t="s">
        <v>1281</v>
      </c>
      <c r="F156" s="44" t="s">
        <v>1129</v>
      </c>
    </row>
    <row r="157" customFormat="false" ht="22.35" hidden="false" customHeight="false" outlineLevel="0" collapsed="false">
      <c r="A157" s="44" t="s">
        <v>1274</v>
      </c>
      <c r="B157" s="44" t="s">
        <v>1282</v>
      </c>
      <c r="C157" s="44" t="s">
        <v>388</v>
      </c>
      <c r="D157" s="44" t="s">
        <v>1283</v>
      </c>
      <c r="E157" s="44" t="s">
        <v>389</v>
      </c>
      <c r="F157" s="44" t="s">
        <v>1129</v>
      </c>
    </row>
    <row r="158" customFormat="false" ht="22.35" hidden="false" customHeight="false" outlineLevel="0" collapsed="false">
      <c r="A158" s="44" t="s">
        <v>1274</v>
      </c>
      <c r="B158" s="44" t="s">
        <v>1284</v>
      </c>
      <c r="C158" s="44" t="s">
        <v>390</v>
      </c>
      <c r="D158" s="44" t="s">
        <v>1285</v>
      </c>
      <c r="E158" s="44" t="s">
        <v>392</v>
      </c>
      <c r="F158" s="44" t="s">
        <v>1129</v>
      </c>
    </row>
    <row r="159" customFormat="false" ht="22.35" hidden="false" customHeight="false" outlineLevel="0" collapsed="false">
      <c r="A159" s="44" t="s">
        <v>1274</v>
      </c>
      <c r="B159" s="44" t="s">
        <v>1286</v>
      </c>
      <c r="C159" s="44" t="s">
        <v>393</v>
      </c>
      <c r="D159" s="44" t="s">
        <v>1287</v>
      </c>
      <c r="E159" s="44" t="s">
        <v>395</v>
      </c>
      <c r="F159" s="44" t="s">
        <v>1129</v>
      </c>
    </row>
    <row r="160" customFormat="false" ht="22.35" hidden="false" customHeight="false" outlineLevel="0" collapsed="false">
      <c r="A160" s="44" t="s">
        <v>1288</v>
      </c>
      <c r="B160" s="44" t="s">
        <v>1289</v>
      </c>
      <c r="C160" s="44" t="s">
        <v>461</v>
      </c>
      <c r="D160" s="44" t="s">
        <v>1290</v>
      </c>
      <c r="E160" s="44" t="s">
        <v>1291</v>
      </c>
      <c r="F160" s="44" t="s">
        <v>1135</v>
      </c>
    </row>
    <row r="161" customFormat="false" ht="22.35" hidden="false" customHeight="false" outlineLevel="0" collapsed="false">
      <c r="A161" s="44" t="s">
        <v>1288</v>
      </c>
      <c r="B161" s="44" t="s">
        <v>1292</v>
      </c>
      <c r="C161" s="44" t="s">
        <v>461</v>
      </c>
      <c r="D161" s="44" t="s">
        <v>1293</v>
      </c>
      <c r="E161" s="44" t="s">
        <v>461</v>
      </c>
      <c r="F161" s="44" t="s">
        <v>1117</v>
      </c>
    </row>
    <row r="162" customFormat="false" ht="15" hidden="false" customHeight="false" outlineLevel="0" collapsed="false">
      <c r="A162" s="44" t="s">
        <v>1288</v>
      </c>
      <c r="B162" s="44" t="s">
        <v>1294</v>
      </c>
      <c r="C162" s="44" t="s">
        <v>462</v>
      </c>
      <c r="D162" s="44" t="s">
        <v>1157</v>
      </c>
      <c r="E162" s="44" t="s">
        <v>1295</v>
      </c>
      <c r="F162" s="44" t="s">
        <v>1135</v>
      </c>
    </row>
    <row r="163" customFormat="false" ht="15" hidden="false" customHeight="false" outlineLevel="0" collapsed="false">
      <c r="A163" s="44" t="s">
        <v>1288</v>
      </c>
      <c r="B163" s="44" t="s">
        <v>1296</v>
      </c>
      <c r="C163" s="44" t="s">
        <v>479</v>
      </c>
      <c r="D163" s="44" t="s">
        <v>1297</v>
      </c>
      <c r="E163" s="44" t="s">
        <v>1298</v>
      </c>
      <c r="F163" s="44" t="s">
        <v>1135</v>
      </c>
    </row>
    <row r="164" customFormat="false" ht="15" hidden="false" customHeight="false" outlineLevel="0" collapsed="false">
      <c r="A164" s="44" t="s">
        <v>1288</v>
      </c>
      <c r="B164" s="44" t="s">
        <v>1145</v>
      </c>
      <c r="C164" s="44" t="s">
        <v>479</v>
      </c>
      <c r="D164" s="44" t="s">
        <v>1299</v>
      </c>
      <c r="E164" s="44" t="s">
        <v>479</v>
      </c>
      <c r="F164" s="44" t="s">
        <v>1117</v>
      </c>
    </row>
    <row r="165" customFormat="false" ht="22.35" hidden="false" customHeight="false" outlineLevel="0" collapsed="false">
      <c r="A165" s="44" t="s">
        <v>1288</v>
      </c>
      <c r="B165" s="44" t="s">
        <v>1300</v>
      </c>
      <c r="C165" s="44" t="s">
        <v>485</v>
      </c>
      <c r="D165" s="44" t="s">
        <v>1301</v>
      </c>
      <c r="E165" s="44" t="s">
        <v>1302</v>
      </c>
      <c r="F165" s="44" t="s">
        <v>1135</v>
      </c>
    </row>
    <row r="166" customFormat="false" ht="22.35" hidden="false" customHeight="false" outlineLevel="0" collapsed="false">
      <c r="A166" s="44" t="s">
        <v>1288</v>
      </c>
      <c r="B166" s="44" t="s">
        <v>1303</v>
      </c>
      <c r="C166" s="44" t="s">
        <v>485</v>
      </c>
      <c r="D166" s="44" t="s">
        <v>465</v>
      </c>
      <c r="E166" s="44" t="s">
        <v>485</v>
      </c>
      <c r="F166" s="44" t="s">
        <v>1117</v>
      </c>
    </row>
    <row r="167" customFormat="false" ht="22.35" hidden="false" customHeight="false" outlineLevel="0" collapsed="false">
      <c r="A167" s="44" t="s">
        <v>1288</v>
      </c>
      <c r="B167" s="44" t="s">
        <v>1304</v>
      </c>
      <c r="C167" s="44" t="s">
        <v>488</v>
      </c>
      <c r="D167" s="44" t="s">
        <v>1305</v>
      </c>
      <c r="E167" s="44" t="s">
        <v>1306</v>
      </c>
      <c r="F167" s="44" t="s">
        <v>1135</v>
      </c>
    </row>
    <row r="168" customFormat="false" ht="22.35" hidden="false" customHeight="false" outlineLevel="0" collapsed="false">
      <c r="A168" s="44" t="s">
        <v>1288</v>
      </c>
      <c r="B168" s="44" t="s">
        <v>1307</v>
      </c>
      <c r="C168" s="44" t="s">
        <v>488</v>
      </c>
      <c r="D168" s="44" t="s">
        <v>1308</v>
      </c>
      <c r="E168" s="44" t="s">
        <v>488</v>
      </c>
      <c r="F168" s="44" t="s">
        <v>1117</v>
      </c>
    </row>
    <row r="169" customFormat="false" ht="22.35" hidden="false" customHeight="false" outlineLevel="0" collapsed="false">
      <c r="A169" s="44" t="s">
        <v>1288</v>
      </c>
      <c r="B169" s="44" t="s">
        <v>1309</v>
      </c>
      <c r="C169" s="44" t="s">
        <v>489</v>
      </c>
      <c r="D169" s="44" t="s">
        <v>1310</v>
      </c>
      <c r="E169" s="44" t="s">
        <v>1311</v>
      </c>
      <c r="F169" s="44" t="s">
        <v>1135</v>
      </c>
    </row>
    <row r="170" customFormat="false" ht="22.35" hidden="false" customHeight="false" outlineLevel="0" collapsed="false">
      <c r="A170" s="44" t="s">
        <v>1288</v>
      </c>
      <c r="B170" s="44" t="s">
        <v>1312</v>
      </c>
      <c r="C170" s="44" t="s">
        <v>489</v>
      </c>
      <c r="D170" s="44" t="s">
        <v>1313</v>
      </c>
      <c r="E170" s="44" t="s">
        <v>489</v>
      </c>
      <c r="F170" s="44" t="s">
        <v>1117</v>
      </c>
    </row>
    <row r="171" customFormat="false" ht="15" hidden="false" customHeight="false" outlineLevel="0" collapsed="false">
      <c r="A171" s="44" t="s">
        <v>1288</v>
      </c>
      <c r="B171" s="44" t="s">
        <v>1314</v>
      </c>
      <c r="C171" s="44" t="s">
        <v>490</v>
      </c>
      <c r="D171" s="44" t="s">
        <v>1315</v>
      </c>
      <c r="E171" s="44" t="s">
        <v>1316</v>
      </c>
      <c r="F171" s="44" t="s">
        <v>1135</v>
      </c>
    </row>
    <row r="172" customFormat="false" ht="15" hidden="false" customHeight="false" outlineLevel="0" collapsed="false">
      <c r="A172" s="44" t="s">
        <v>1288</v>
      </c>
      <c r="B172" s="44" t="s">
        <v>1317</v>
      </c>
      <c r="C172" s="44" t="s">
        <v>490</v>
      </c>
      <c r="D172" s="44" t="s">
        <v>469</v>
      </c>
      <c r="E172" s="44" t="s">
        <v>490</v>
      </c>
      <c r="F172" s="44" t="s">
        <v>1117</v>
      </c>
    </row>
    <row r="173" customFormat="false" ht="15" hidden="false" customHeight="false" outlineLevel="0" collapsed="false">
      <c r="A173" s="44" t="s">
        <v>1288</v>
      </c>
      <c r="B173" s="44" t="s">
        <v>1318</v>
      </c>
      <c r="C173" s="44" t="s">
        <v>496</v>
      </c>
      <c r="D173" s="44" t="s">
        <v>1319</v>
      </c>
      <c r="E173" s="44" t="s">
        <v>1320</v>
      </c>
      <c r="F173" s="44" t="s">
        <v>1135</v>
      </c>
    </row>
    <row r="174" customFormat="false" ht="15" hidden="false" customHeight="false" outlineLevel="0" collapsed="false">
      <c r="A174" s="44" t="s">
        <v>1288</v>
      </c>
      <c r="B174" s="44" t="s">
        <v>1321</v>
      </c>
      <c r="C174" s="44" t="s">
        <v>496</v>
      </c>
      <c r="D174" s="44" t="s">
        <v>1322</v>
      </c>
      <c r="E174" s="44" t="s">
        <v>496</v>
      </c>
      <c r="F174" s="44" t="s">
        <v>1117</v>
      </c>
    </row>
    <row r="175" customFormat="false" ht="15" hidden="false" customHeight="false" outlineLevel="0" collapsed="false">
      <c r="A175" s="94" t="s">
        <v>1288</v>
      </c>
      <c r="B175" s="94" t="s">
        <v>1323</v>
      </c>
      <c r="C175" s="94" t="s">
        <v>499</v>
      </c>
      <c r="D175" s="94" t="s">
        <v>1184</v>
      </c>
      <c r="E175" s="94" t="s">
        <v>1185</v>
      </c>
      <c r="F175" s="94" t="s">
        <v>1186</v>
      </c>
    </row>
    <row r="176" customFormat="false" ht="15" hidden="false" customHeight="false" outlineLevel="0" collapsed="false">
      <c r="A176" s="94" t="s">
        <v>1288</v>
      </c>
      <c r="B176" s="94" t="s">
        <v>1324</v>
      </c>
      <c r="C176" s="94" t="s">
        <v>500</v>
      </c>
      <c r="D176" s="94" t="s">
        <v>1184</v>
      </c>
      <c r="E176" s="94" t="s">
        <v>1185</v>
      </c>
      <c r="F176" s="94" t="s">
        <v>1186</v>
      </c>
    </row>
    <row r="177" customFormat="false" ht="15" hidden="false" customHeight="false" outlineLevel="0" collapsed="false">
      <c r="A177" s="94" t="s">
        <v>1288</v>
      </c>
      <c r="B177" s="94" t="s">
        <v>1325</v>
      </c>
      <c r="C177" s="94" t="s">
        <v>501</v>
      </c>
      <c r="D177" s="94" t="s">
        <v>1184</v>
      </c>
      <c r="E177" s="94" t="s">
        <v>1185</v>
      </c>
      <c r="F177" s="94" t="s">
        <v>1186</v>
      </c>
    </row>
    <row r="178" customFormat="false" ht="15" hidden="false" customHeight="false" outlineLevel="0" collapsed="false">
      <c r="A178" s="94" t="s">
        <v>1288</v>
      </c>
      <c r="B178" s="94" t="s">
        <v>1326</v>
      </c>
      <c r="C178" s="94" t="s">
        <v>502</v>
      </c>
      <c r="D178" s="94" t="s">
        <v>1184</v>
      </c>
      <c r="E178" s="94" t="s">
        <v>1185</v>
      </c>
      <c r="F178" s="94" t="s">
        <v>1186</v>
      </c>
    </row>
    <row r="179" customFormat="false" ht="15" hidden="false" customHeight="false" outlineLevel="0" collapsed="false">
      <c r="A179" s="94" t="s">
        <v>1288</v>
      </c>
      <c r="B179" s="94" t="s">
        <v>1183</v>
      </c>
      <c r="C179" s="94" t="s">
        <v>503</v>
      </c>
      <c r="D179" s="94" t="s">
        <v>1184</v>
      </c>
      <c r="E179" s="94" t="s">
        <v>1185</v>
      </c>
      <c r="F179" s="94" t="s">
        <v>1186</v>
      </c>
    </row>
    <row r="180" customFormat="false" ht="15" hidden="false" customHeight="false" outlineLevel="0" collapsed="false">
      <c r="A180" s="94" t="s">
        <v>1288</v>
      </c>
      <c r="B180" s="94" t="s">
        <v>1187</v>
      </c>
      <c r="C180" s="94" t="s">
        <v>504</v>
      </c>
      <c r="D180" s="94" t="s">
        <v>1184</v>
      </c>
      <c r="E180" s="94" t="s">
        <v>1185</v>
      </c>
      <c r="F180" s="94" t="s">
        <v>1186</v>
      </c>
    </row>
    <row r="181" customFormat="false" ht="15" hidden="false" customHeight="false" outlineLevel="0" collapsed="false">
      <c r="A181" s="94" t="s">
        <v>1288</v>
      </c>
      <c r="B181" s="94" t="s">
        <v>1188</v>
      </c>
      <c r="C181" s="94" t="s">
        <v>506</v>
      </c>
      <c r="D181" s="94" t="s">
        <v>1184</v>
      </c>
      <c r="E181" s="94" t="s">
        <v>1185</v>
      </c>
      <c r="F181" s="94" t="s">
        <v>1186</v>
      </c>
    </row>
    <row r="182" customFormat="false" ht="15" hidden="false" customHeight="false" outlineLevel="0" collapsed="false">
      <c r="A182" s="94" t="s">
        <v>1288</v>
      </c>
      <c r="B182" s="94" t="s">
        <v>1189</v>
      </c>
      <c r="C182" s="94" t="s">
        <v>507</v>
      </c>
      <c r="D182" s="94" t="s">
        <v>1184</v>
      </c>
      <c r="E182" s="94" t="s">
        <v>1185</v>
      </c>
      <c r="F182" s="94" t="s">
        <v>1186</v>
      </c>
    </row>
    <row r="183" customFormat="false" ht="15" hidden="false" customHeight="false" outlineLevel="0" collapsed="false">
      <c r="A183" s="94" t="s">
        <v>1288</v>
      </c>
      <c r="B183" s="94" t="s">
        <v>1190</v>
      </c>
      <c r="C183" s="94" t="s">
        <v>508</v>
      </c>
      <c r="D183" s="94" t="s">
        <v>1184</v>
      </c>
      <c r="E183" s="94" t="s">
        <v>1185</v>
      </c>
      <c r="F183" s="94" t="s">
        <v>1186</v>
      </c>
    </row>
    <row r="184" customFormat="false" ht="15" hidden="false" customHeight="false" outlineLevel="0" collapsed="false">
      <c r="A184" s="94" t="s">
        <v>1288</v>
      </c>
      <c r="B184" s="94" t="s">
        <v>1192</v>
      </c>
      <c r="C184" s="94" t="s">
        <v>509</v>
      </c>
      <c r="D184" s="94" t="s">
        <v>1184</v>
      </c>
      <c r="E184" s="94" t="s">
        <v>1185</v>
      </c>
      <c r="F184" s="94" t="s">
        <v>1186</v>
      </c>
    </row>
    <row r="185" customFormat="false" ht="15" hidden="false" customHeight="false" outlineLevel="0" collapsed="false">
      <c r="A185" s="94" t="s">
        <v>1288</v>
      </c>
      <c r="B185" s="94" t="s">
        <v>1193</v>
      </c>
      <c r="C185" s="94" t="s">
        <v>510</v>
      </c>
      <c r="D185" s="94" t="s">
        <v>1184</v>
      </c>
      <c r="E185" s="94" t="s">
        <v>1185</v>
      </c>
      <c r="F185" s="94" t="s">
        <v>1186</v>
      </c>
    </row>
    <row r="186" customFormat="false" ht="15" hidden="false" customHeight="false" outlineLevel="0" collapsed="false">
      <c r="A186" s="94" t="s">
        <v>1288</v>
      </c>
      <c r="B186" s="94" t="s">
        <v>1194</v>
      </c>
      <c r="C186" s="94" t="s">
        <v>511</v>
      </c>
      <c r="D186" s="94" t="s">
        <v>1184</v>
      </c>
      <c r="E186" s="94" t="s">
        <v>1185</v>
      </c>
      <c r="F186" s="94" t="s">
        <v>1186</v>
      </c>
    </row>
    <row r="187" customFormat="false" ht="15" hidden="false" customHeight="false" outlineLevel="0" collapsed="false">
      <c r="A187" s="94" t="s">
        <v>1288</v>
      </c>
      <c r="B187" s="94" t="s">
        <v>1195</v>
      </c>
      <c r="C187" s="94" t="s">
        <v>512</v>
      </c>
      <c r="D187" s="94" t="s">
        <v>1184</v>
      </c>
      <c r="E187" s="94" t="s">
        <v>1185</v>
      </c>
      <c r="F187" s="94" t="s">
        <v>1186</v>
      </c>
    </row>
    <row r="188" customFormat="false" ht="15" hidden="false" customHeight="false" outlineLevel="0" collapsed="false">
      <c r="A188" s="94" t="s">
        <v>1288</v>
      </c>
      <c r="B188" s="94" t="s">
        <v>1196</v>
      </c>
      <c r="C188" s="94" t="s">
        <v>513</v>
      </c>
      <c r="D188" s="94" t="s">
        <v>1184</v>
      </c>
      <c r="E188" s="94" t="s">
        <v>1185</v>
      </c>
      <c r="F188" s="94" t="s">
        <v>1186</v>
      </c>
    </row>
    <row r="189" customFormat="false" ht="15" hidden="false" customHeight="false" outlineLevel="0" collapsed="false">
      <c r="A189" s="94" t="s">
        <v>1288</v>
      </c>
      <c r="B189" s="94" t="s">
        <v>1197</v>
      </c>
      <c r="C189" s="94" t="s">
        <v>514</v>
      </c>
      <c r="D189" s="94" t="s">
        <v>1184</v>
      </c>
      <c r="E189" s="94" t="s">
        <v>1185</v>
      </c>
      <c r="F189" s="94" t="s">
        <v>1186</v>
      </c>
    </row>
    <row r="190" customFormat="false" ht="15" hidden="false" customHeight="false" outlineLevel="0" collapsed="false">
      <c r="A190" s="94" t="s">
        <v>1288</v>
      </c>
      <c r="B190" s="94" t="s">
        <v>1198</v>
      </c>
      <c r="C190" s="94" t="s">
        <v>515</v>
      </c>
      <c r="D190" s="94" t="s">
        <v>1184</v>
      </c>
      <c r="E190" s="94" t="s">
        <v>1185</v>
      </c>
      <c r="F190" s="94" t="s">
        <v>1186</v>
      </c>
    </row>
    <row r="191" customFormat="false" ht="15" hidden="false" customHeight="false" outlineLevel="0" collapsed="false">
      <c r="A191" s="94" t="s">
        <v>1288</v>
      </c>
      <c r="B191" s="94" t="s">
        <v>1199</v>
      </c>
      <c r="C191" s="94" t="s">
        <v>516</v>
      </c>
      <c r="D191" s="94" t="s">
        <v>1184</v>
      </c>
      <c r="E191" s="94" t="s">
        <v>1185</v>
      </c>
      <c r="F191" s="94" t="s">
        <v>1186</v>
      </c>
    </row>
    <row r="192" customFormat="false" ht="15" hidden="false" customHeight="false" outlineLevel="0" collapsed="false">
      <c r="A192" s="94" t="s">
        <v>1288</v>
      </c>
      <c r="B192" s="94" t="s">
        <v>1200</v>
      </c>
      <c r="C192" s="94" t="s">
        <v>517</v>
      </c>
      <c r="D192" s="94" t="s">
        <v>1184</v>
      </c>
      <c r="E192" s="94" t="s">
        <v>1185</v>
      </c>
      <c r="F192" s="94" t="s">
        <v>1186</v>
      </c>
    </row>
    <row r="193" customFormat="false" ht="22.35" hidden="false" customHeight="false" outlineLevel="0" collapsed="false">
      <c r="A193" s="44" t="s">
        <v>1327</v>
      </c>
      <c r="B193" s="44" t="s">
        <v>1328</v>
      </c>
      <c r="C193" s="44" t="s">
        <v>616</v>
      </c>
      <c r="D193" s="44" t="s">
        <v>1329</v>
      </c>
      <c r="E193" s="44" t="s">
        <v>1330</v>
      </c>
      <c r="F193" s="44" t="s">
        <v>1135</v>
      </c>
    </row>
    <row r="194" customFormat="false" ht="22.35" hidden="false" customHeight="false" outlineLevel="0" collapsed="false">
      <c r="A194" s="44" t="s">
        <v>1327</v>
      </c>
      <c r="B194" s="44" t="s">
        <v>1331</v>
      </c>
      <c r="C194" s="44" t="s">
        <v>616</v>
      </c>
      <c r="D194" s="44" t="s">
        <v>1332</v>
      </c>
      <c r="E194" s="44" t="s">
        <v>617</v>
      </c>
      <c r="F194" s="44" t="s">
        <v>1129</v>
      </c>
    </row>
    <row r="195" customFormat="false" ht="15" hidden="false" customHeight="false" outlineLevel="0" collapsed="false">
      <c r="A195" s="44" t="s">
        <v>1327</v>
      </c>
      <c r="B195" s="44" t="s">
        <v>1333</v>
      </c>
      <c r="C195" s="44" t="s">
        <v>618</v>
      </c>
      <c r="D195" s="44" t="s">
        <v>1334</v>
      </c>
      <c r="E195" s="44" t="s">
        <v>1335</v>
      </c>
      <c r="F195" s="44" t="s">
        <v>1135</v>
      </c>
    </row>
    <row r="196" customFormat="false" ht="15" hidden="false" customHeight="false" outlineLevel="0" collapsed="false">
      <c r="A196" s="44" t="s">
        <v>1327</v>
      </c>
      <c r="B196" s="44" t="s">
        <v>1280</v>
      </c>
      <c r="C196" s="44" t="s">
        <v>618</v>
      </c>
      <c r="D196" s="44" t="s">
        <v>1336</v>
      </c>
      <c r="E196" s="44" t="s">
        <v>619</v>
      </c>
      <c r="F196" s="44" t="s">
        <v>1129</v>
      </c>
    </row>
    <row r="197" customFormat="false" ht="15" hidden="false" customHeight="false" outlineLevel="0" collapsed="false">
      <c r="A197" s="44" t="s">
        <v>1327</v>
      </c>
      <c r="B197" s="44" t="s">
        <v>1337</v>
      </c>
      <c r="C197" s="44" t="s">
        <v>620</v>
      </c>
      <c r="D197" s="44" t="s">
        <v>1338</v>
      </c>
      <c r="E197" s="44" t="s">
        <v>1339</v>
      </c>
      <c r="F197" s="44" t="s">
        <v>1135</v>
      </c>
    </row>
    <row r="198" customFormat="false" ht="15" hidden="false" customHeight="false" outlineLevel="0" collapsed="false">
      <c r="A198" s="44" t="s">
        <v>1327</v>
      </c>
      <c r="B198" s="44" t="s">
        <v>1340</v>
      </c>
      <c r="C198" s="44" t="s">
        <v>620</v>
      </c>
      <c r="D198" s="44" t="s">
        <v>1341</v>
      </c>
      <c r="E198" s="44" t="s">
        <v>620</v>
      </c>
      <c r="F198" s="44" t="s">
        <v>1117</v>
      </c>
    </row>
    <row r="199" customFormat="false" ht="22.35" hidden="false" customHeight="false" outlineLevel="0" collapsed="false">
      <c r="A199" s="44" t="s">
        <v>1327</v>
      </c>
      <c r="B199" s="44" t="s">
        <v>1342</v>
      </c>
      <c r="C199" s="44" t="s">
        <v>620</v>
      </c>
      <c r="D199" s="44" t="s">
        <v>1343</v>
      </c>
      <c r="E199" s="44" t="s">
        <v>621</v>
      </c>
      <c r="F199" s="44" t="s">
        <v>1129</v>
      </c>
    </row>
    <row r="200" customFormat="false" ht="15" hidden="false" customHeight="false" outlineLevel="0" collapsed="false">
      <c r="A200" s="44" t="s">
        <v>1327</v>
      </c>
      <c r="B200" s="44" t="s">
        <v>1344</v>
      </c>
      <c r="C200" s="44" t="s">
        <v>624</v>
      </c>
      <c r="D200" s="44" t="s">
        <v>1345</v>
      </c>
      <c r="E200" s="44" t="s">
        <v>1346</v>
      </c>
      <c r="F200" s="44" t="s">
        <v>1135</v>
      </c>
    </row>
    <row r="201" customFormat="false" ht="15" hidden="false" customHeight="false" outlineLevel="0" collapsed="false">
      <c r="A201" s="44" t="s">
        <v>1327</v>
      </c>
      <c r="B201" s="44" t="s">
        <v>1347</v>
      </c>
      <c r="C201" s="44" t="s">
        <v>624</v>
      </c>
      <c r="D201" s="44" t="s">
        <v>1348</v>
      </c>
      <c r="E201" s="44" t="s">
        <v>624</v>
      </c>
      <c r="F201" s="44" t="s">
        <v>1117</v>
      </c>
    </row>
    <row r="202" customFormat="false" ht="15" hidden="false" customHeight="false" outlineLevel="0" collapsed="false">
      <c r="A202" s="44" t="s">
        <v>1327</v>
      </c>
      <c r="B202" s="44" t="s">
        <v>1349</v>
      </c>
      <c r="C202" s="44" t="s">
        <v>625</v>
      </c>
      <c r="D202" s="44" t="s">
        <v>1350</v>
      </c>
      <c r="E202" s="44" t="s">
        <v>1351</v>
      </c>
      <c r="F202" s="44" t="s">
        <v>1135</v>
      </c>
    </row>
    <row r="203" customFormat="false" ht="15" hidden="false" customHeight="false" outlineLevel="0" collapsed="false">
      <c r="A203" s="44" t="s">
        <v>1327</v>
      </c>
      <c r="B203" s="44" t="s">
        <v>1352</v>
      </c>
      <c r="C203" s="44" t="s">
        <v>625</v>
      </c>
      <c r="D203" s="44" t="s">
        <v>1353</v>
      </c>
      <c r="E203" s="44" t="s">
        <v>625</v>
      </c>
      <c r="F203" s="44" t="s">
        <v>1117</v>
      </c>
    </row>
    <row r="204" customFormat="false" ht="15" hidden="false" customHeight="false" outlineLevel="0" collapsed="false">
      <c r="A204" s="44" t="s">
        <v>1327</v>
      </c>
      <c r="B204" s="44" t="s">
        <v>1354</v>
      </c>
      <c r="C204" s="44" t="s">
        <v>625</v>
      </c>
      <c r="D204" s="44" t="s">
        <v>1355</v>
      </c>
      <c r="E204" s="44" t="s">
        <v>626</v>
      </c>
      <c r="F204" s="44" t="s">
        <v>1129</v>
      </c>
    </row>
    <row r="205" customFormat="false" ht="15" hidden="false" customHeight="false" outlineLevel="0" collapsed="false">
      <c r="A205" s="44" t="s">
        <v>1327</v>
      </c>
      <c r="B205" s="44" t="s">
        <v>1356</v>
      </c>
      <c r="C205" s="44" t="s">
        <v>629</v>
      </c>
      <c r="D205" s="44" t="s">
        <v>1357</v>
      </c>
      <c r="E205" s="44" t="s">
        <v>630</v>
      </c>
      <c r="F205" s="44" t="s">
        <v>1129</v>
      </c>
    </row>
    <row r="206" customFormat="false" ht="15" hidden="false" customHeight="false" outlineLevel="0" collapsed="false">
      <c r="A206" s="44" t="s">
        <v>1327</v>
      </c>
      <c r="B206" s="44" t="s">
        <v>1358</v>
      </c>
      <c r="C206" s="44" t="s">
        <v>635</v>
      </c>
      <c r="D206" s="44" t="s">
        <v>1359</v>
      </c>
      <c r="E206" s="44" t="s">
        <v>1360</v>
      </c>
      <c r="F206" s="44" t="s">
        <v>1135</v>
      </c>
    </row>
    <row r="207" customFormat="false" ht="15" hidden="false" customHeight="false" outlineLevel="0" collapsed="false">
      <c r="A207" s="44" t="s">
        <v>1327</v>
      </c>
      <c r="B207" s="44" t="s">
        <v>1361</v>
      </c>
      <c r="C207" s="44" t="s">
        <v>637</v>
      </c>
      <c r="D207" s="44" t="s">
        <v>1362</v>
      </c>
      <c r="E207" s="44" t="s">
        <v>637</v>
      </c>
      <c r="F207" s="44" t="s">
        <v>1117</v>
      </c>
    </row>
    <row r="208" customFormat="false" ht="15" hidden="false" customHeight="false" outlineLevel="0" collapsed="false">
      <c r="A208" s="94" t="s">
        <v>1327</v>
      </c>
      <c r="B208" s="94" t="s">
        <v>1363</v>
      </c>
      <c r="C208" s="94" t="s">
        <v>644</v>
      </c>
      <c r="D208" s="94" t="s">
        <v>1184</v>
      </c>
      <c r="E208" s="94" t="s">
        <v>1185</v>
      </c>
      <c r="F208" s="94" t="s">
        <v>1186</v>
      </c>
    </row>
    <row r="209" customFormat="false" ht="32.8" hidden="false" customHeight="false" outlineLevel="0" collapsed="false">
      <c r="A209" s="44" t="s">
        <v>1327</v>
      </c>
      <c r="B209" s="44" t="s">
        <v>1136</v>
      </c>
      <c r="C209" s="44" t="s">
        <v>1364</v>
      </c>
      <c r="D209" s="44" t="s">
        <v>1364</v>
      </c>
      <c r="E209" s="44"/>
      <c r="F209" s="44" t="s">
        <v>1117</v>
      </c>
    </row>
    <row r="210" customFormat="false" ht="15" hidden="false" customHeight="false" outlineLevel="0" collapsed="false">
      <c r="A210" s="94" t="s">
        <v>1327</v>
      </c>
      <c r="B210" s="94" t="s">
        <v>1365</v>
      </c>
      <c r="C210" s="94" t="s">
        <v>645</v>
      </c>
      <c r="D210" s="94" t="s">
        <v>1184</v>
      </c>
      <c r="E210" s="94" t="s">
        <v>1185</v>
      </c>
      <c r="F210" s="94" t="s">
        <v>1186</v>
      </c>
    </row>
    <row r="211" customFormat="false" ht="15" hidden="false" customHeight="false" outlineLevel="0" collapsed="false">
      <c r="A211" s="94" t="s">
        <v>1327</v>
      </c>
      <c r="B211" s="94" t="s">
        <v>1366</v>
      </c>
      <c r="C211" s="94" t="s">
        <v>646</v>
      </c>
      <c r="D211" s="94" t="s">
        <v>1184</v>
      </c>
      <c r="E211" s="94" t="s">
        <v>1185</v>
      </c>
      <c r="F211" s="94" t="s">
        <v>1186</v>
      </c>
    </row>
    <row r="212" customFormat="false" ht="15" hidden="false" customHeight="false" outlineLevel="0" collapsed="false">
      <c r="A212" s="94" t="s">
        <v>1327</v>
      </c>
      <c r="B212" s="94" t="s">
        <v>1367</v>
      </c>
      <c r="C212" s="94" t="s">
        <v>648</v>
      </c>
      <c r="D212" s="94" t="s">
        <v>1184</v>
      </c>
      <c r="E212" s="94" t="s">
        <v>1185</v>
      </c>
      <c r="F212" s="94" t="s">
        <v>1186</v>
      </c>
    </row>
    <row r="213" customFormat="false" ht="15" hidden="false" customHeight="false" outlineLevel="0" collapsed="false">
      <c r="A213" s="94" t="s">
        <v>1327</v>
      </c>
      <c r="B213" s="94" t="s">
        <v>1368</v>
      </c>
      <c r="C213" s="94" t="s">
        <v>650</v>
      </c>
      <c r="D213" s="94" t="s">
        <v>1184</v>
      </c>
      <c r="E213" s="94" t="s">
        <v>1185</v>
      </c>
      <c r="F213" s="94" t="s">
        <v>1186</v>
      </c>
    </row>
    <row r="214" customFormat="false" ht="32.8" hidden="false" customHeight="false" outlineLevel="0" collapsed="false">
      <c r="A214" s="44" t="s">
        <v>1369</v>
      </c>
      <c r="B214" s="44" t="s">
        <v>1115</v>
      </c>
      <c r="C214" s="44" t="s">
        <v>653</v>
      </c>
      <c r="D214" s="44" t="s">
        <v>1370</v>
      </c>
      <c r="E214" s="44" t="s">
        <v>653</v>
      </c>
      <c r="F214" s="44" t="s">
        <v>1117</v>
      </c>
    </row>
    <row r="215" customFormat="false" ht="15" hidden="false" customHeight="false" outlineLevel="0" collapsed="false">
      <c r="A215" s="44" t="s">
        <v>1369</v>
      </c>
      <c r="B215" s="44" t="s">
        <v>1371</v>
      </c>
      <c r="C215" s="44" t="s">
        <v>657</v>
      </c>
      <c r="D215" s="44" t="s">
        <v>1372</v>
      </c>
      <c r="E215" s="44" t="s">
        <v>1373</v>
      </c>
      <c r="F215" s="44" t="s">
        <v>1135</v>
      </c>
    </row>
    <row r="216" customFormat="false" ht="15" hidden="false" customHeight="false" outlineLevel="0" collapsed="false">
      <c r="A216" s="44" t="s">
        <v>1369</v>
      </c>
      <c r="B216" s="44" t="s">
        <v>1374</v>
      </c>
      <c r="C216" s="44" t="s">
        <v>657</v>
      </c>
      <c r="D216" s="44" t="s">
        <v>1036</v>
      </c>
      <c r="E216" s="44" t="s">
        <v>657</v>
      </c>
      <c r="F216" s="44" t="s">
        <v>1117</v>
      </c>
    </row>
    <row r="217" customFormat="false" ht="15" hidden="false" customHeight="false" outlineLevel="0" collapsed="false">
      <c r="A217" s="44" t="s">
        <v>1369</v>
      </c>
      <c r="B217" s="44" t="s">
        <v>1375</v>
      </c>
      <c r="C217" s="44" t="s">
        <v>659</v>
      </c>
      <c r="D217" s="44" t="s">
        <v>1376</v>
      </c>
      <c r="E217" s="44" t="s">
        <v>659</v>
      </c>
      <c r="F217" s="44" t="s">
        <v>1117</v>
      </c>
    </row>
    <row r="218" customFormat="false" ht="15" hidden="false" customHeight="false" outlineLevel="0" collapsed="false">
      <c r="A218" s="44" t="s">
        <v>1369</v>
      </c>
      <c r="B218" s="44" t="s">
        <v>1377</v>
      </c>
      <c r="C218" s="44" t="s">
        <v>661</v>
      </c>
      <c r="D218" s="44" t="s">
        <v>1378</v>
      </c>
      <c r="E218" s="44" t="s">
        <v>1379</v>
      </c>
      <c r="F218" s="44" t="s">
        <v>1135</v>
      </c>
    </row>
    <row r="219" customFormat="false" ht="15" hidden="false" customHeight="false" outlineLevel="0" collapsed="false">
      <c r="A219" s="44" t="s">
        <v>1369</v>
      </c>
      <c r="B219" s="44" t="s">
        <v>1380</v>
      </c>
      <c r="C219" s="44" t="s">
        <v>661</v>
      </c>
      <c r="D219" s="44" t="s">
        <v>1381</v>
      </c>
      <c r="E219" s="44" t="s">
        <v>661</v>
      </c>
      <c r="F219" s="44" t="s">
        <v>1117</v>
      </c>
    </row>
    <row r="220" customFormat="false" ht="15" hidden="false" customHeight="false" outlineLevel="0" collapsed="false">
      <c r="A220" s="44" t="s">
        <v>1369</v>
      </c>
      <c r="B220" s="44" t="s">
        <v>1289</v>
      </c>
      <c r="C220" s="44" t="s">
        <v>667</v>
      </c>
      <c r="D220" s="44" t="s">
        <v>1382</v>
      </c>
      <c r="E220" s="44" t="s">
        <v>1383</v>
      </c>
      <c r="F220" s="44" t="s">
        <v>1135</v>
      </c>
    </row>
    <row r="221" customFormat="false" ht="15" hidden="false" customHeight="false" outlineLevel="0" collapsed="false">
      <c r="A221" s="44" t="s">
        <v>1369</v>
      </c>
      <c r="B221" s="44" t="s">
        <v>1292</v>
      </c>
      <c r="C221" s="44" t="s">
        <v>667</v>
      </c>
      <c r="D221" s="44" t="s">
        <v>1384</v>
      </c>
      <c r="E221" s="44" t="s">
        <v>667</v>
      </c>
      <c r="F221" s="44" t="s">
        <v>1117</v>
      </c>
    </row>
    <row r="222" customFormat="false" ht="15" hidden="false" customHeight="false" outlineLevel="0" collapsed="false">
      <c r="A222" s="44" t="s">
        <v>1369</v>
      </c>
      <c r="B222" s="44" t="s">
        <v>1385</v>
      </c>
      <c r="C222" s="44" t="s">
        <v>669</v>
      </c>
      <c r="D222" s="44" t="s">
        <v>1386</v>
      </c>
      <c r="E222" s="44" t="s">
        <v>1387</v>
      </c>
      <c r="F222" s="44" t="s">
        <v>1135</v>
      </c>
    </row>
    <row r="223" customFormat="false" ht="15" hidden="false" customHeight="false" outlineLevel="0" collapsed="false">
      <c r="A223" s="44" t="s">
        <v>1369</v>
      </c>
      <c r="B223" s="44" t="s">
        <v>1388</v>
      </c>
      <c r="C223" s="44" t="s">
        <v>669</v>
      </c>
      <c r="D223" s="44" t="s">
        <v>1389</v>
      </c>
      <c r="E223" s="44" t="s">
        <v>669</v>
      </c>
      <c r="F223" s="44" t="s">
        <v>1117</v>
      </c>
    </row>
    <row r="224" customFormat="false" ht="15" hidden="false" customHeight="false" outlineLevel="0" collapsed="false">
      <c r="A224" s="44" t="s">
        <v>1369</v>
      </c>
      <c r="B224" s="44" t="s">
        <v>1390</v>
      </c>
      <c r="C224" s="44" t="s">
        <v>672</v>
      </c>
      <c r="D224" s="44" t="s">
        <v>1391</v>
      </c>
      <c r="E224" s="44" t="s">
        <v>1392</v>
      </c>
      <c r="F224" s="44" t="s">
        <v>1135</v>
      </c>
    </row>
    <row r="225" customFormat="false" ht="15" hidden="false" customHeight="false" outlineLevel="0" collapsed="false">
      <c r="A225" s="44" t="s">
        <v>1369</v>
      </c>
      <c r="B225" s="44" t="s">
        <v>1393</v>
      </c>
      <c r="C225" s="44" t="s">
        <v>672</v>
      </c>
      <c r="D225" s="44" t="s">
        <v>1394</v>
      </c>
      <c r="E225" s="44" t="s">
        <v>672</v>
      </c>
      <c r="F225" s="44" t="s">
        <v>1117</v>
      </c>
    </row>
    <row r="226" customFormat="false" ht="15" hidden="false" customHeight="false" outlineLevel="0" collapsed="false">
      <c r="A226" s="44" t="s">
        <v>1369</v>
      </c>
      <c r="B226" s="44" t="s">
        <v>1358</v>
      </c>
      <c r="C226" s="44" t="s">
        <v>674</v>
      </c>
      <c r="D226" s="44" t="s">
        <v>1395</v>
      </c>
      <c r="E226" s="44" t="s">
        <v>1396</v>
      </c>
      <c r="F226" s="44" t="s">
        <v>1135</v>
      </c>
    </row>
    <row r="227" customFormat="false" ht="15" hidden="false" customHeight="false" outlineLevel="0" collapsed="false">
      <c r="A227" s="44" t="s">
        <v>1369</v>
      </c>
      <c r="B227" s="44" t="s">
        <v>1397</v>
      </c>
      <c r="C227" s="44" t="s">
        <v>674</v>
      </c>
      <c r="D227" s="44" t="s">
        <v>1398</v>
      </c>
      <c r="E227" s="44" t="s">
        <v>674</v>
      </c>
      <c r="F227" s="44" t="s">
        <v>1117</v>
      </c>
    </row>
    <row r="228" customFormat="false" ht="15" hidden="false" customHeight="false" outlineLevel="0" collapsed="false">
      <c r="A228" s="94" t="s">
        <v>1369</v>
      </c>
      <c r="B228" s="94" t="s">
        <v>1399</v>
      </c>
      <c r="C228" s="94" t="s">
        <v>675</v>
      </c>
      <c r="D228" s="94" t="s">
        <v>1184</v>
      </c>
      <c r="E228" s="94" t="s">
        <v>1185</v>
      </c>
      <c r="F228" s="94" t="s">
        <v>1186</v>
      </c>
    </row>
    <row r="229" customFormat="false" ht="15" hidden="false" customHeight="false" outlineLevel="0" collapsed="false">
      <c r="A229" s="94" t="s">
        <v>1369</v>
      </c>
      <c r="B229" s="94" t="s">
        <v>1400</v>
      </c>
      <c r="C229" s="94" t="s">
        <v>676</v>
      </c>
      <c r="D229" s="94" t="s">
        <v>1184</v>
      </c>
      <c r="E229" s="94" t="s">
        <v>1185</v>
      </c>
      <c r="F229" s="94" t="s">
        <v>1186</v>
      </c>
    </row>
    <row r="230" customFormat="false" ht="15" hidden="false" customHeight="false" outlineLevel="0" collapsed="false">
      <c r="A230" s="94" t="s">
        <v>1369</v>
      </c>
      <c r="B230" s="94" t="s">
        <v>1401</v>
      </c>
      <c r="C230" s="94" t="s">
        <v>677</v>
      </c>
      <c r="D230" s="94" t="s">
        <v>1184</v>
      </c>
      <c r="E230" s="94" t="s">
        <v>1185</v>
      </c>
      <c r="F230" s="94" t="s">
        <v>1186</v>
      </c>
    </row>
    <row r="231" customFormat="false" ht="15" hidden="false" customHeight="false" outlineLevel="0" collapsed="false">
      <c r="A231" s="94" t="s">
        <v>1369</v>
      </c>
      <c r="B231" s="94" t="s">
        <v>1402</v>
      </c>
      <c r="C231" s="94" t="s">
        <v>679</v>
      </c>
      <c r="D231" s="94" t="s">
        <v>1184</v>
      </c>
      <c r="E231" s="94" t="s">
        <v>1185</v>
      </c>
      <c r="F231" s="94" t="s">
        <v>1186</v>
      </c>
    </row>
    <row r="232" customFormat="false" ht="15" hidden="false" customHeight="false" outlineLevel="0" collapsed="false">
      <c r="A232" s="94" t="s">
        <v>1369</v>
      </c>
      <c r="B232" s="94" t="s">
        <v>1403</v>
      </c>
      <c r="C232" s="94" t="s">
        <v>680</v>
      </c>
      <c r="D232" s="94" t="s">
        <v>1184</v>
      </c>
      <c r="E232" s="94" t="s">
        <v>1185</v>
      </c>
      <c r="F232" s="94" t="s">
        <v>1186</v>
      </c>
    </row>
    <row r="233" customFormat="false" ht="15" hidden="false" customHeight="false" outlineLevel="0" collapsed="false">
      <c r="A233" s="94" t="s">
        <v>1369</v>
      </c>
      <c r="B233" s="94" t="s">
        <v>1363</v>
      </c>
      <c r="C233" s="94" t="s">
        <v>681</v>
      </c>
      <c r="D233" s="94" t="s">
        <v>1184</v>
      </c>
      <c r="E233" s="94" t="s">
        <v>1185</v>
      </c>
      <c r="F233" s="94" t="s">
        <v>1186</v>
      </c>
    </row>
    <row r="234" customFormat="false" ht="15" hidden="false" customHeight="false" outlineLevel="0" collapsed="false">
      <c r="A234" s="94" t="s">
        <v>1369</v>
      </c>
      <c r="B234" s="94" t="s">
        <v>1404</v>
      </c>
      <c r="C234" s="94" t="s">
        <v>683</v>
      </c>
      <c r="D234" s="94" t="s">
        <v>1184</v>
      </c>
      <c r="E234" s="94" t="s">
        <v>1185</v>
      </c>
      <c r="F234" s="94" t="s">
        <v>1186</v>
      </c>
    </row>
    <row r="235" customFormat="false" ht="15" hidden="false" customHeight="false" outlineLevel="0" collapsed="false">
      <c r="A235" s="94" t="s">
        <v>1369</v>
      </c>
      <c r="B235" s="94" t="s">
        <v>1366</v>
      </c>
      <c r="C235" s="94" t="s">
        <v>685</v>
      </c>
      <c r="D235" s="94" t="s">
        <v>1184</v>
      </c>
      <c r="E235" s="94" t="s">
        <v>1185</v>
      </c>
      <c r="F235" s="94" t="s">
        <v>1186</v>
      </c>
    </row>
    <row r="236" customFormat="false" ht="15" hidden="false" customHeight="false" outlineLevel="0" collapsed="false">
      <c r="A236" s="94" t="s">
        <v>1369</v>
      </c>
      <c r="B236" s="94" t="s">
        <v>1367</v>
      </c>
      <c r="C236" s="94" t="s">
        <v>686</v>
      </c>
      <c r="D236" s="94" t="s">
        <v>1184</v>
      </c>
      <c r="E236" s="94" t="s">
        <v>1185</v>
      </c>
      <c r="F236" s="94" t="s">
        <v>1186</v>
      </c>
    </row>
    <row r="237" customFormat="false" ht="15" hidden="false" customHeight="false" outlineLevel="0" collapsed="false">
      <c r="A237" s="94" t="s">
        <v>1369</v>
      </c>
      <c r="B237" s="94" t="s">
        <v>1368</v>
      </c>
      <c r="C237" s="94" t="s">
        <v>688</v>
      </c>
      <c r="D237" s="94" t="s">
        <v>1184</v>
      </c>
      <c r="E237" s="94" t="s">
        <v>1185</v>
      </c>
      <c r="F237" s="94" t="s">
        <v>1186</v>
      </c>
    </row>
    <row r="238" customFormat="false" ht="15" hidden="false" customHeight="false" outlineLevel="0" collapsed="false">
      <c r="A238" s="94" t="s">
        <v>1369</v>
      </c>
      <c r="B238" s="94" t="s">
        <v>1405</v>
      </c>
      <c r="C238" s="94" t="s">
        <v>689</v>
      </c>
      <c r="D238" s="94" t="s">
        <v>1184</v>
      </c>
      <c r="E238" s="94" t="s">
        <v>1185</v>
      </c>
      <c r="F238" s="94" t="s">
        <v>1186</v>
      </c>
    </row>
    <row r="239" customFormat="false" ht="15" hidden="false" customHeight="false" outlineLevel="0" collapsed="false">
      <c r="A239" s="94" t="s">
        <v>1369</v>
      </c>
      <c r="B239" s="94" t="s">
        <v>1406</v>
      </c>
      <c r="C239" s="94" t="s">
        <v>690</v>
      </c>
      <c r="D239" s="94" t="s">
        <v>1184</v>
      </c>
      <c r="E239" s="94" t="s">
        <v>1185</v>
      </c>
      <c r="F239" s="94" t="s">
        <v>1186</v>
      </c>
    </row>
    <row r="240" customFormat="false" ht="15" hidden="false" customHeight="false" outlineLevel="0" collapsed="false">
      <c r="A240" s="94" t="s">
        <v>1369</v>
      </c>
      <c r="B240" s="94" t="s">
        <v>1407</v>
      </c>
      <c r="C240" s="94" t="s">
        <v>691</v>
      </c>
      <c r="D240" s="94" t="s">
        <v>1184</v>
      </c>
      <c r="E240" s="94" t="s">
        <v>1185</v>
      </c>
      <c r="F240" s="94" t="s">
        <v>1186</v>
      </c>
    </row>
    <row r="241" customFormat="false" ht="15" hidden="false" customHeight="false" outlineLevel="0" collapsed="false">
      <c r="A241" s="94" t="s">
        <v>1369</v>
      </c>
      <c r="B241" s="94" t="s">
        <v>1408</v>
      </c>
      <c r="C241" s="94" t="s">
        <v>692</v>
      </c>
      <c r="D241" s="94" t="s">
        <v>1184</v>
      </c>
      <c r="E241" s="94" t="s">
        <v>1185</v>
      </c>
      <c r="F241" s="94" t="s">
        <v>1186</v>
      </c>
    </row>
    <row r="242" customFormat="false" ht="15" hidden="false" customHeight="false" outlineLevel="0" collapsed="false">
      <c r="A242" s="94" t="s">
        <v>1369</v>
      </c>
      <c r="B242" s="94" t="s">
        <v>1409</v>
      </c>
      <c r="C242" s="94" t="s">
        <v>693</v>
      </c>
      <c r="D242" s="94" t="s">
        <v>1184</v>
      </c>
      <c r="E242" s="94" t="s">
        <v>1185</v>
      </c>
      <c r="F242" s="94" t="s">
        <v>1186</v>
      </c>
    </row>
    <row r="243" customFormat="false" ht="15" hidden="false" customHeight="false" outlineLevel="0" collapsed="false">
      <c r="A243" s="94" t="s">
        <v>1369</v>
      </c>
      <c r="B243" s="94" t="s">
        <v>1410</v>
      </c>
      <c r="C243" s="94" t="s">
        <v>694</v>
      </c>
      <c r="D243" s="94" t="s">
        <v>1184</v>
      </c>
      <c r="E243" s="94" t="s">
        <v>1185</v>
      </c>
      <c r="F243" s="94" t="s">
        <v>1186</v>
      </c>
    </row>
    <row r="244" customFormat="false" ht="15" hidden="false" customHeight="false" outlineLevel="0" collapsed="false">
      <c r="A244" s="94" t="s">
        <v>1369</v>
      </c>
      <c r="B244" s="94" t="s">
        <v>1411</v>
      </c>
      <c r="C244" s="94" t="s">
        <v>695</v>
      </c>
      <c r="D244" s="94" t="s">
        <v>1184</v>
      </c>
      <c r="E244" s="94" t="s">
        <v>1185</v>
      </c>
      <c r="F244" s="94" t="s">
        <v>1186</v>
      </c>
    </row>
    <row r="245" customFormat="false" ht="15" hidden="false" customHeight="false" outlineLevel="0" collapsed="false">
      <c r="A245" s="94" t="s">
        <v>1369</v>
      </c>
      <c r="B245" s="94" t="s">
        <v>1412</v>
      </c>
      <c r="C245" s="94" t="s">
        <v>696</v>
      </c>
      <c r="D245" s="94" t="s">
        <v>1184</v>
      </c>
      <c r="E245" s="94" t="s">
        <v>1185</v>
      </c>
      <c r="F245" s="94" t="s">
        <v>1186</v>
      </c>
    </row>
    <row r="246" customFormat="false" ht="15" hidden="false" customHeight="false" outlineLevel="0" collapsed="false">
      <c r="A246" s="94" t="s">
        <v>1369</v>
      </c>
      <c r="B246" s="94" t="s">
        <v>1413</v>
      </c>
      <c r="C246" s="94" t="s">
        <v>697</v>
      </c>
      <c r="D246" s="94" t="s">
        <v>1184</v>
      </c>
      <c r="E246" s="94" t="s">
        <v>1185</v>
      </c>
      <c r="F246" s="94" t="s">
        <v>1186</v>
      </c>
    </row>
    <row r="247" customFormat="false" ht="15" hidden="false" customHeight="false" outlineLevel="0" collapsed="false">
      <c r="A247" s="94" t="s">
        <v>1369</v>
      </c>
      <c r="B247" s="94" t="s">
        <v>1414</v>
      </c>
      <c r="C247" s="94" t="s">
        <v>699</v>
      </c>
      <c r="D247" s="94" t="s">
        <v>1184</v>
      </c>
      <c r="E247" s="94" t="s">
        <v>1185</v>
      </c>
      <c r="F247" s="94" t="s">
        <v>1186</v>
      </c>
    </row>
    <row r="248" customFormat="false" ht="15" hidden="false" customHeight="false" outlineLevel="0" collapsed="false">
      <c r="A248" s="94" t="s">
        <v>1369</v>
      </c>
      <c r="B248" s="94" t="s">
        <v>1415</v>
      </c>
      <c r="C248" s="94" t="s">
        <v>701</v>
      </c>
      <c r="D248" s="94" t="s">
        <v>1184</v>
      </c>
      <c r="E248" s="94" t="s">
        <v>1185</v>
      </c>
      <c r="F248" s="94" t="s">
        <v>1186</v>
      </c>
    </row>
    <row r="249" customFormat="false" ht="15" hidden="false" customHeight="false" outlineLevel="0" collapsed="false">
      <c r="A249" s="94" t="s">
        <v>1369</v>
      </c>
      <c r="B249" s="94" t="s">
        <v>1416</v>
      </c>
      <c r="C249" s="94" t="s">
        <v>702</v>
      </c>
      <c r="D249" s="94" t="s">
        <v>1184</v>
      </c>
      <c r="E249" s="94" t="s">
        <v>1185</v>
      </c>
      <c r="F249" s="94" t="s">
        <v>1186</v>
      </c>
    </row>
    <row r="250" customFormat="false" ht="32.8" hidden="false" customHeight="false" outlineLevel="0" collapsed="false">
      <c r="A250" s="44" t="s">
        <v>1417</v>
      </c>
      <c r="B250" s="44" t="s">
        <v>1115</v>
      </c>
      <c r="C250" s="44" t="s">
        <v>704</v>
      </c>
      <c r="D250" s="44" t="s">
        <v>1418</v>
      </c>
      <c r="E250" s="44" t="s">
        <v>704</v>
      </c>
      <c r="F250" s="44" t="s">
        <v>1117</v>
      </c>
    </row>
    <row r="251" customFormat="false" ht="15" hidden="false" customHeight="false" outlineLevel="0" collapsed="false">
      <c r="A251" s="44" t="s">
        <v>1417</v>
      </c>
      <c r="B251" s="44" t="s">
        <v>1375</v>
      </c>
      <c r="C251" s="44" t="s">
        <v>707</v>
      </c>
      <c r="D251" s="44" t="s">
        <v>1419</v>
      </c>
      <c r="E251" s="44" t="s">
        <v>707</v>
      </c>
      <c r="F251" s="44" t="s">
        <v>1117</v>
      </c>
    </row>
    <row r="252" customFormat="false" ht="22.35" hidden="false" customHeight="false" outlineLevel="0" collapsed="false">
      <c r="A252" s="44" t="s">
        <v>1417</v>
      </c>
      <c r="B252" s="44" t="s">
        <v>1347</v>
      </c>
      <c r="C252" s="44" t="s">
        <v>710</v>
      </c>
      <c r="D252" s="44" t="s">
        <v>1420</v>
      </c>
      <c r="E252" s="44" t="s">
        <v>710</v>
      </c>
      <c r="F252" s="44" t="s">
        <v>1117</v>
      </c>
    </row>
    <row r="253" customFormat="false" ht="15" hidden="false" customHeight="false" outlineLevel="0" collapsed="false">
      <c r="A253" s="44" t="s">
        <v>1417</v>
      </c>
      <c r="B253" s="44" t="s">
        <v>1349</v>
      </c>
      <c r="C253" s="44" t="s">
        <v>711</v>
      </c>
      <c r="D253" s="44" t="s">
        <v>1421</v>
      </c>
      <c r="E253" s="44" t="s">
        <v>1422</v>
      </c>
      <c r="F253" s="44" t="s">
        <v>1135</v>
      </c>
    </row>
    <row r="254" customFormat="false" ht="22.35" hidden="false" customHeight="false" outlineLevel="0" collapsed="false">
      <c r="A254" s="44" t="s">
        <v>1417</v>
      </c>
      <c r="B254" s="44" t="s">
        <v>1423</v>
      </c>
      <c r="C254" s="44" t="s">
        <v>707</v>
      </c>
      <c r="D254" s="44" t="s">
        <v>1424</v>
      </c>
      <c r="E254" s="44" t="s">
        <v>1425</v>
      </c>
      <c r="F254" s="44" t="s">
        <v>1135</v>
      </c>
    </row>
    <row r="255" customFormat="false" ht="15" hidden="false" customHeight="false" outlineLevel="0" collapsed="false">
      <c r="A255" s="44" t="s">
        <v>1417</v>
      </c>
      <c r="B255" s="44" t="s">
        <v>1123</v>
      </c>
      <c r="C255" s="44" t="s">
        <v>707</v>
      </c>
      <c r="D255" s="44" t="s">
        <v>1419</v>
      </c>
      <c r="E255" s="44" t="s">
        <v>707</v>
      </c>
      <c r="F255" s="44" t="s">
        <v>1117</v>
      </c>
    </row>
    <row r="256" customFormat="false" ht="22.35" hidden="false" customHeight="false" outlineLevel="0" collapsed="false">
      <c r="A256" s="44" t="s">
        <v>1417</v>
      </c>
      <c r="B256" s="44" t="s">
        <v>1426</v>
      </c>
      <c r="C256" s="44" t="s">
        <v>710</v>
      </c>
      <c r="D256" s="44" t="s">
        <v>1420</v>
      </c>
      <c r="E256" s="44" t="s">
        <v>710</v>
      </c>
      <c r="F256" s="44" t="s">
        <v>1117</v>
      </c>
    </row>
    <row r="257" customFormat="false" ht="15" hidden="false" customHeight="false" outlineLevel="0" collapsed="false">
      <c r="A257" s="94" t="s">
        <v>1417</v>
      </c>
      <c r="B257" s="94" t="s">
        <v>1399</v>
      </c>
      <c r="C257" s="94" t="s">
        <v>716</v>
      </c>
      <c r="D257" s="94" t="s">
        <v>1184</v>
      </c>
      <c r="E257" s="94" t="s">
        <v>1185</v>
      </c>
      <c r="F257" s="94" t="s">
        <v>1186</v>
      </c>
    </row>
    <row r="258" customFormat="false" ht="15" hidden="false" customHeight="false" outlineLevel="0" collapsed="false">
      <c r="A258" s="94" t="s">
        <v>1417</v>
      </c>
      <c r="B258" s="94" t="s">
        <v>1400</v>
      </c>
      <c r="C258" s="94" t="s">
        <v>717</v>
      </c>
      <c r="D258" s="94" t="s">
        <v>1184</v>
      </c>
      <c r="E258" s="94" t="s">
        <v>1185</v>
      </c>
      <c r="F258" s="94" t="s">
        <v>1186</v>
      </c>
    </row>
    <row r="259" customFormat="false" ht="15" hidden="false" customHeight="false" outlineLevel="0" collapsed="false">
      <c r="A259" s="94" t="s">
        <v>1417</v>
      </c>
      <c r="B259" s="94" t="s">
        <v>1401</v>
      </c>
      <c r="C259" s="94" t="s">
        <v>718</v>
      </c>
      <c r="D259" s="94" t="s">
        <v>1184</v>
      </c>
      <c r="E259" s="94" t="s">
        <v>1185</v>
      </c>
      <c r="F259" s="94" t="s">
        <v>1186</v>
      </c>
    </row>
    <row r="260" customFormat="false" ht="15" hidden="false" customHeight="false" outlineLevel="0" collapsed="false">
      <c r="A260" s="94" t="s">
        <v>1417</v>
      </c>
      <c r="B260" s="94" t="s">
        <v>1402</v>
      </c>
      <c r="C260" s="94" t="s">
        <v>719</v>
      </c>
      <c r="D260" s="94" t="s">
        <v>1184</v>
      </c>
      <c r="E260" s="94" t="s">
        <v>1185</v>
      </c>
      <c r="F260" s="94" t="s">
        <v>1186</v>
      </c>
    </row>
    <row r="261" customFormat="false" ht="15" hidden="false" customHeight="false" outlineLevel="0" collapsed="false">
      <c r="A261" s="94" t="s">
        <v>1417</v>
      </c>
      <c r="B261" s="94" t="s">
        <v>1403</v>
      </c>
      <c r="C261" s="94" t="s">
        <v>720</v>
      </c>
      <c r="D261" s="94" t="s">
        <v>1184</v>
      </c>
      <c r="E261" s="94" t="s">
        <v>1185</v>
      </c>
      <c r="F261" s="94" t="s">
        <v>1186</v>
      </c>
    </row>
    <row r="262" customFormat="false" ht="15" hidden="false" customHeight="false" outlineLevel="0" collapsed="false">
      <c r="A262" s="94" t="s">
        <v>1417</v>
      </c>
      <c r="B262" s="94" t="s">
        <v>1363</v>
      </c>
      <c r="C262" s="94" t="s">
        <v>721</v>
      </c>
      <c r="D262" s="94" t="s">
        <v>1184</v>
      </c>
      <c r="E262" s="94" t="s">
        <v>1185</v>
      </c>
      <c r="F262" s="94" t="s">
        <v>1186</v>
      </c>
    </row>
    <row r="263" customFormat="false" ht="22.35" hidden="false" customHeight="false" outlineLevel="0" collapsed="false">
      <c r="A263" s="44" t="s">
        <v>1427</v>
      </c>
      <c r="B263" s="44" t="s">
        <v>1115</v>
      </c>
      <c r="C263" s="44" t="s">
        <v>777</v>
      </c>
      <c r="D263" s="44" t="s">
        <v>1428</v>
      </c>
      <c r="E263" s="44" t="s">
        <v>777</v>
      </c>
      <c r="F263" s="44" t="s">
        <v>1117</v>
      </c>
    </row>
    <row r="264" customFormat="false" ht="22.35" hidden="false" customHeight="false" outlineLevel="0" collapsed="false">
      <c r="A264" s="44" t="s">
        <v>1427</v>
      </c>
      <c r="B264" s="44" t="s">
        <v>1429</v>
      </c>
      <c r="C264" s="44" t="s">
        <v>781</v>
      </c>
      <c r="D264" s="44" t="s">
        <v>1430</v>
      </c>
      <c r="E264" s="44" t="s">
        <v>1431</v>
      </c>
      <c r="F264" s="44" t="s">
        <v>1135</v>
      </c>
    </row>
    <row r="265" customFormat="false" ht="15" hidden="false" customHeight="false" outlineLevel="0" collapsed="false">
      <c r="A265" s="44" t="s">
        <v>1427</v>
      </c>
      <c r="B265" s="44" t="s">
        <v>1374</v>
      </c>
      <c r="C265" s="44" t="s">
        <v>781</v>
      </c>
      <c r="D265" s="44" t="s">
        <v>1432</v>
      </c>
      <c r="E265" s="44" t="s">
        <v>781</v>
      </c>
      <c r="F265" s="44" t="s">
        <v>1117</v>
      </c>
    </row>
    <row r="266" customFormat="false" ht="15" hidden="false" customHeight="false" outlineLevel="0" collapsed="false">
      <c r="A266" s="44" t="s">
        <v>1427</v>
      </c>
      <c r="B266" s="44" t="s">
        <v>1331</v>
      </c>
      <c r="C266" s="44" t="s">
        <v>781</v>
      </c>
      <c r="D266" s="44" t="s">
        <v>1433</v>
      </c>
      <c r="E266" s="44" t="s">
        <v>782</v>
      </c>
      <c r="F266" s="44" t="s">
        <v>1129</v>
      </c>
    </row>
    <row r="267" customFormat="false" ht="15" hidden="false" customHeight="false" outlineLevel="0" collapsed="false">
      <c r="A267" s="44" t="s">
        <v>1427</v>
      </c>
      <c r="B267" s="44" t="s">
        <v>1434</v>
      </c>
      <c r="C267" s="44" t="s">
        <v>783</v>
      </c>
      <c r="D267" s="44" t="s">
        <v>1435</v>
      </c>
      <c r="E267" s="44" t="s">
        <v>1436</v>
      </c>
      <c r="F267" s="44" t="s">
        <v>1135</v>
      </c>
    </row>
    <row r="268" customFormat="false" ht="15" hidden="false" customHeight="false" outlineLevel="0" collapsed="false">
      <c r="A268" s="44" t="s">
        <v>1427</v>
      </c>
      <c r="B268" s="44" t="s">
        <v>1375</v>
      </c>
      <c r="C268" s="44" t="s">
        <v>783</v>
      </c>
      <c r="D268" s="44" t="s">
        <v>1437</v>
      </c>
      <c r="E268" s="44" t="s">
        <v>783</v>
      </c>
      <c r="F268" s="44" t="s">
        <v>1117</v>
      </c>
    </row>
    <row r="269" customFormat="false" ht="15" hidden="false" customHeight="false" outlineLevel="0" collapsed="false">
      <c r="A269" s="44" t="s">
        <v>1427</v>
      </c>
      <c r="B269" s="44" t="s">
        <v>1280</v>
      </c>
      <c r="C269" s="44" t="s">
        <v>783</v>
      </c>
      <c r="D269" s="44" t="s">
        <v>1438</v>
      </c>
      <c r="E269" s="44" t="s">
        <v>784</v>
      </c>
      <c r="F269" s="44" t="s">
        <v>1129</v>
      </c>
    </row>
    <row r="270" customFormat="false" ht="15" hidden="false" customHeight="false" outlineLevel="0" collapsed="false">
      <c r="A270" s="44" t="s">
        <v>1427</v>
      </c>
      <c r="B270" s="44" t="s">
        <v>1439</v>
      </c>
      <c r="C270" s="44" t="s">
        <v>787</v>
      </c>
      <c r="D270" s="44" t="s">
        <v>1440</v>
      </c>
      <c r="E270" s="44" t="s">
        <v>788</v>
      </c>
      <c r="F270" s="44" t="s">
        <v>1129</v>
      </c>
    </row>
    <row r="271" customFormat="false" ht="15" hidden="false" customHeight="false" outlineLevel="0" collapsed="false">
      <c r="A271" s="44" t="s">
        <v>1427</v>
      </c>
      <c r="B271" s="44" t="s">
        <v>1441</v>
      </c>
      <c r="C271" s="44" t="s">
        <v>795</v>
      </c>
      <c r="D271" s="44" t="s">
        <v>1442</v>
      </c>
      <c r="E271" s="44" t="s">
        <v>1443</v>
      </c>
      <c r="F271" s="44" t="s">
        <v>1135</v>
      </c>
    </row>
    <row r="272" customFormat="false" ht="15" hidden="false" customHeight="false" outlineLevel="0" collapsed="false">
      <c r="A272" s="44" t="s">
        <v>1427</v>
      </c>
      <c r="B272" s="44" t="s">
        <v>1444</v>
      </c>
      <c r="C272" s="44" t="s">
        <v>795</v>
      </c>
      <c r="D272" s="44" t="s">
        <v>1445</v>
      </c>
      <c r="E272" s="44" t="s">
        <v>796</v>
      </c>
      <c r="F272" s="44" t="s">
        <v>1129</v>
      </c>
    </row>
    <row r="273" customFormat="false" ht="15" hidden="false" customHeight="false" outlineLevel="0" collapsed="false">
      <c r="A273" s="94" t="s">
        <v>1427</v>
      </c>
      <c r="B273" s="94" t="s">
        <v>1446</v>
      </c>
      <c r="C273" s="94" t="s">
        <v>798</v>
      </c>
      <c r="D273" s="94" t="s">
        <v>1184</v>
      </c>
      <c r="E273" s="94" t="s">
        <v>1185</v>
      </c>
      <c r="F273" s="94" t="s">
        <v>1186</v>
      </c>
    </row>
    <row r="274" customFormat="false" ht="15" hidden="false" customHeight="false" outlineLevel="0" collapsed="false">
      <c r="A274" s="94" t="s">
        <v>1427</v>
      </c>
      <c r="B274" s="94" t="s">
        <v>1447</v>
      </c>
      <c r="C274" s="94" t="s">
        <v>799</v>
      </c>
      <c r="D274" s="94" t="s">
        <v>1184</v>
      </c>
      <c r="E274" s="94" t="s">
        <v>1185</v>
      </c>
      <c r="F274" s="94" t="s">
        <v>1186</v>
      </c>
    </row>
    <row r="275" customFormat="false" ht="15" hidden="false" customHeight="false" outlineLevel="0" collapsed="false">
      <c r="A275" s="94" t="s">
        <v>1427</v>
      </c>
      <c r="B275" s="94" t="s">
        <v>1448</v>
      </c>
      <c r="C275" s="94" t="s">
        <v>801</v>
      </c>
      <c r="D275" s="94" t="s">
        <v>1184</v>
      </c>
      <c r="E275" s="94" t="s">
        <v>1185</v>
      </c>
      <c r="F275" s="94" t="s">
        <v>1186</v>
      </c>
    </row>
    <row r="276" customFormat="false" ht="15" hidden="false" customHeight="false" outlineLevel="0" collapsed="false">
      <c r="A276" s="44" t="s">
        <v>1449</v>
      </c>
      <c r="B276" s="44" t="s">
        <v>1375</v>
      </c>
      <c r="C276" s="44" t="s">
        <v>807</v>
      </c>
      <c r="D276" s="44" t="s">
        <v>1450</v>
      </c>
      <c r="E276" s="44" t="s">
        <v>807</v>
      </c>
      <c r="F276" s="44" t="s">
        <v>1117</v>
      </c>
    </row>
    <row r="277" customFormat="false" ht="15" hidden="false" customHeight="false" outlineLevel="0" collapsed="false">
      <c r="A277" s="44" t="s">
        <v>1449</v>
      </c>
      <c r="B277" s="44" t="s">
        <v>1340</v>
      </c>
      <c r="C277" s="44" t="s">
        <v>808</v>
      </c>
      <c r="D277" s="44" t="s">
        <v>1451</v>
      </c>
      <c r="E277" s="44" t="s">
        <v>808</v>
      </c>
      <c r="F277" s="44" t="s">
        <v>1117</v>
      </c>
    </row>
    <row r="278" customFormat="false" ht="15" hidden="false" customHeight="false" outlineLevel="0" collapsed="false">
      <c r="A278" s="44" t="s">
        <v>1449</v>
      </c>
      <c r="B278" s="44" t="s">
        <v>1452</v>
      </c>
      <c r="C278" s="44" t="s">
        <v>812</v>
      </c>
      <c r="D278" s="44" t="s">
        <v>1453</v>
      </c>
      <c r="E278" s="44" t="s">
        <v>1454</v>
      </c>
      <c r="F278" s="44" t="s">
        <v>1135</v>
      </c>
    </row>
    <row r="279" customFormat="false" ht="32.8" hidden="false" customHeight="false" outlineLevel="0" collapsed="false">
      <c r="A279" s="44" t="s">
        <v>1449</v>
      </c>
      <c r="B279" s="44" t="s">
        <v>1455</v>
      </c>
      <c r="C279" s="44" t="s">
        <v>830</v>
      </c>
      <c r="D279" s="44" t="s">
        <v>1456</v>
      </c>
      <c r="E279" s="44" t="s">
        <v>830</v>
      </c>
      <c r="F279" s="44" t="s">
        <v>1117</v>
      </c>
    </row>
    <row r="280" customFormat="false" ht="15" hidden="false" customHeight="false" outlineLevel="0" collapsed="false">
      <c r="A280" s="94" t="s">
        <v>1449</v>
      </c>
      <c r="B280" s="94" t="s">
        <v>1406</v>
      </c>
      <c r="C280" s="94" t="s">
        <v>831</v>
      </c>
      <c r="D280" s="94" t="s">
        <v>1184</v>
      </c>
      <c r="E280" s="94" t="s">
        <v>1185</v>
      </c>
      <c r="F280" s="94" t="s">
        <v>1186</v>
      </c>
    </row>
    <row r="281" customFormat="false" ht="15" hidden="false" customHeight="false" outlineLevel="0" collapsed="false">
      <c r="A281" s="94" t="s">
        <v>1449</v>
      </c>
      <c r="B281" s="94" t="s">
        <v>1407</v>
      </c>
      <c r="C281" s="94" t="s">
        <v>832</v>
      </c>
      <c r="D281" s="94" t="s">
        <v>1184</v>
      </c>
      <c r="E281" s="94" t="s">
        <v>1185</v>
      </c>
      <c r="F281" s="94" t="s">
        <v>1186</v>
      </c>
    </row>
    <row r="282" customFormat="false" ht="15" hidden="false" customHeight="false" outlineLevel="0" collapsed="false">
      <c r="A282" s="94" t="s">
        <v>1449</v>
      </c>
      <c r="B282" s="94" t="s">
        <v>1408</v>
      </c>
      <c r="C282" s="94" t="s">
        <v>833</v>
      </c>
      <c r="D282" s="94" t="s">
        <v>1184</v>
      </c>
      <c r="E282" s="94" t="s">
        <v>1185</v>
      </c>
      <c r="F282" s="94" t="s">
        <v>1186</v>
      </c>
    </row>
    <row r="283" customFormat="false" ht="15" hidden="false" customHeight="false" outlineLevel="0" collapsed="false">
      <c r="A283" s="94" t="s">
        <v>1449</v>
      </c>
      <c r="B283" s="94" t="s">
        <v>1409</v>
      </c>
      <c r="C283" s="94" t="s">
        <v>834</v>
      </c>
      <c r="D283" s="94" t="s">
        <v>1184</v>
      </c>
      <c r="E283" s="94" t="s">
        <v>1185</v>
      </c>
      <c r="F283" s="94" t="s">
        <v>1186</v>
      </c>
    </row>
    <row r="284" customFormat="false" ht="15" hidden="false" customHeight="false" outlineLevel="0" collapsed="false">
      <c r="A284" s="94" t="s">
        <v>1449</v>
      </c>
      <c r="B284" s="94" t="s">
        <v>1410</v>
      </c>
      <c r="C284" s="94" t="s">
        <v>835</v>
      </c>
      <c r="D284" s="94" t="s">
        <v>1184</v>
      </c>
      <c r="E284" s="94" t="s">
        <v>1185</v>
      </c>
      <c r="F284" s="94" t="s">
        <v>1186</v>
      </c>
    </row>
    <row r="285" customFormat="false" ht="32.8" hidden="false" customHeight="false" outlineLevel="0" collapsed="false">
      <c r="A285" s="44" t="s">
        <v>1457</v>
      </c>
      <c r="B285" s="44" t="s">
        <v>1458</v>
      </c>
      <c r="C285" s="44" t="s">
        <v>1</v>
      </c>
      <c r="D285" s="44" t="s">
        <v>1459</v>
      </c>
      <c r="E285" s="44" t="s">
        <v>1</v>
      </c>
      <c r="F285" s="44" t="s">
        <v>1117</v>
      </c>
    </row>
    <row r="286" customFormat="false" ht="22.35" hidden="false" customHeight="false" outlineLevel="0" collapsed="false">
      <c r="A286" s="44" t="s">
        <v>1457</v>
      </c>
      <c r="B286" s="44" t="s">
        <v>1460</v>
      </c>
      <c r="C286" s="44" t="s">
        <v>1461</v>
      </c>
      <c r="D286" s="44" t="s">
        <v>1461</v>
      </c>
      <c r="E286" s="44"/>
      <c r="F286" s="44" t="s">
        <v>1117</v>
      </c>
    </row>
    <row r="287" customFormat="false" ht="15" hidden="false" customHeight="false" outlineLevel="0" collapsed="false">
      <c r="A287" s="94" t="s">
        <v>1457</v>
      </c>
      <c r="B287" s="94" t="s">
        <v>1462</v>
      </c>
      <c r="C287" s="94" t="s">
        <v>2</v>
      </c>
      <c r="D287" s="94" t="s">
        <v>1184</v>
      </c>
      <c r="E287" s="94" t="s">
        <v>1185</v>
      </c>
      <c r="F287" s="94" t="s">
        <v>1186</v>
      </c>
    </row>
    <row r="288" customFormat="false" ht="15" hidden="false" customHeight="false" outlineLevel="0" collapsed="false">
      <c r="A288" s="44" t="s">
        <v>1457</v>
      </c>
      <c r="B288" s="44" t="s">
        <v>1463</v>
      </c>
      <c r="C288" s="44" t="s">
        <v>3</v>
      </c>
      <c r="D288" s="44" t="s">
        <v>1464</v>
      </c>
      <c r="E288" s="44" t="s">
        <v>4</v>
      </c>
      <c r="F288" s="44" t="s">
        <v>1120</v>
      </c>
    </row>
    <row r="289" customFormat="false" ht="15" hidden="false" customHeight="false" outlineLevel="0" collapsed="false">
      <c r="A289" s="44" t="s">
        <v>1457</v>
      </c>
      <c r="B289" s="44" t="s">
        <v>1374</v>
      </c>
      <c r="C289" s="44" t="s">
        <v>3</v>
      </c>
      <c r="D289" s="44" t="s">
        <v>1465</v>
      </c>
      <c r="E289" s="44" t="s">
        <v>3</v>
      </c>
      <c r="F289" s="44" t="s">
        <v>1117</v>
      </c>
    </row>
    <row r="290" customFormat="false" ht="15" hidden="false" customHeight="false" outlineLevel="0" collapsed="false">
      <c r="A290" s="44" t="s">
        <v>1457</v>
      </c>
      <c r="B290" s="44" t="s">
        <v>1375</v>
      </c>
      <c r="C290" s="44" t="s">
        <v>1466</v>
      </c>
      <c r="D290" s="44" t="s">
        <v>1467</v>
      </c>
      <c r="E290" s="44" t="s">
        <v>1466</v>
      </c>
      <c r="F290" s="44" t="s">
        <v>1135</v>
      </c>
    </row>
    <row r="291" customFormat="false" ht="15" hidden="false" customHeight="false" outlineLevel="0" collapsed="false">
      <c r="A291" s="44" t="s">
        <v>1457</v>
      </c>
      <c r="B291" s="44" t="s">
        <v>1468</v>
      </c>
      <c r="C291" s="44" t="s">
        <v>6</v>
      </c>
      <c r="D291" s="44" t="s">
        <v>1469</v>
      </c>
      <c r="E291" s="44"/>
      <c r="F291" s="44" t="s">
        <v>1120</v>
      </c>
    </row>
    <row r="292" customFormat="false" ht="15" hidden="false" customHeight="false" outlineLevel="0" collapsed="false">
      <c r="A292" s="44" t="s">
        <v>1457</v>
      </c>
      <c r="B292" s="44" t="s">
        <v>1380</v>
      </c>
      <c r="C292" s="44" t="s">
        <v>6</v>
      </c>
      <c r="D292" s="44" t="s">
        <v>1470</v>
      </c>
      <c r="E292" s="44" t="s">
        <v>6</v>
      </c>
      <c r="F292" s="44" t="s">
        <v>1117</v>
      </c>
    </row>
    <row r="293" customFormat="false" ht="15" hidden="false" customHeight="false" outlineLevel="0" collapsed="false">
      <c r="A293" s="44" t="s">
        <v>1457</v>
      </c>
      <c r="B293" s="44" t="s">
        <v>1471</v>
      </c>
      <c r="C293" s="44" t="s">
        <v>7</v>
      </c>
      <c r="D293" s="44" t="s">
        <v>1472</v>
      </c>
      <c r="E293" s="44" t="s">
        <v>8</v>
      </c>
      <c r="F293" s="44" t="s">
        <v>1120</v>
      </c>
    </row>
    <row r="294" customFormat="false" ht="15" hidden="false" customHeight="false" outlineLevel="0" collapsed="false">
      <c r="A294" s="44" t="s">
        <v>1457</v>
      </c>
      <c r="B294" s="44" t="s">
        <v>1347</v>
      </c>
      <c r="C294" s="44" t="s">
        <v>7</v>
      </c>
      <c r="D294" s="44" t="s">
        <v>1473</v>
      </c>
      <c r="E294" s="44" t="s">
        <v>7</v>
      </c>
      <c r="F294" s="44" t="s">
        <v>1117</v>
      </c>
    </row>
    <row r="295" customFormat="false" ht="15" hidden="false" customHeight="false" outlineLevel="0" collapsed="false">
      <c r="A295" s="94" t="s">
        <v>1457</v>
      </c>
      <c r="B295" s="94" t="s">
        <v>1474</v>
      </c>
      <c r="C295" s="103" t="n">
        <f aca="false">ROI!C17</f>
        <v>2.35251792453966</v>
      </c>
      <c r="D295" s="94" t="s">
        <v>1184</v>
      </c>
      <c r="E295" s="94" t="s">
        <v>1185</v>
      </c>
      <c r="F295" s="94" t="s">
        <v>1186</v>
      </c>
    </row>
    <row r="296" customFormat="false" ht="15" hidden="false" customHeight="false" outlineLevel="0" collapsed="false">
      <c r="A296" s="44" t="s">
        <v>1457</v>
      </c>
      <c r="B296" s="44" t="s">
        <v>1475</v>
      </c>
      <c r="C296" s="44" t="s">
        <v>1476</v>
      </c>
      <c r="D296" s="44" t="s">
        <v>1477</v>
      </c>
      <c r="E296" s="44"/>
      <c r="F296" s="44" t="s">
        <v>1120</v>
      </c>
    </row>
    <row r="297" customFormat="false" ht="15" hidden="false" customHeight="false" outlineLevel="0" collapsed="false">
      <c r="A297" s="44" t="s">
        <v>1457</v>
      </c>
      <c r="B297" s="44" t="s">
        <v>1478</v>
      </c>
      <c r="C297" s="44" t="s">
        <v>1476</v>
      </c>
      <c r="D297" s="44" t="s">
        <v>1476</v>
      </c>
      <c r="E297" s="44"/>
      <c r="F297" s="44" t="s">
        <v>1117</v>
      </c>
    </row>
    <row r="298" customFormat="false" ht="32.8" hidden="false" customHeight="false" outlineLevel="0" collapsed="false">
      <c r="A298" s="44" t="s">
        <v>1457</v>
      </c>
      <c r="B298" s="44" t="s">
        <v>1479</v>
      </c>
      <c r="C298" s="44" t="s">
        <v>1480</v>
      </c>
      <c r="D298" s="44" t="s">
        <v>1481</v>
      </c>
      <c r="E298" s="44"/>
      <c r="F298" s="44" t="s">
        <v>1120</v>
      </c>
    </row>
    <row r="299" customFormat="false" ht="32.8" hidden="false" customHeight="false" outlineLevel="0" collapsed="false">
      <c r="A299" s="44" t="s">
        <v>1457</v>
      </c>
      <c r="B299" s="44" t="s">
        <v>1292</v>
      </c>
      <c r="C299" s="44" t="s">
        <v>1480</v>
      </c>
      <c r="D299" s="44" t="s">
        <v>1482</v>
      </c>
      <c r="E299" s="44" t="s">
        <v>1480</v>
      </c>
      <c r="F299" s="44" t="s">
        <v>1135</v>
      </c>
    </row>
    <row r="300" customFormat="false" ht="22.35" hidden="false" customHeight="false" outlineLevel="0" collapsed="false">
      <c r="A300" s="44" t="s">
        <v>1457</v>
      </c>
      <c r="B300" s="44" t="s">
        <v>1123</v>
      </c>
      <c r="C300" s="44" t="s">
        <v>10</v>
      </c>
      <c r="D300" s="44" t="s">
        <v>11</v>
      </c>
      <c r="E300" s="44" t="s">
        <v>10</v>
      </c>
      <c r="F300" s="44" t="s">
        <v>1117</v>
      </c>
    </row>
    <row r="301" customFormat="false" ht="43.25" hidden="false" customHeight="false" outlineLevel="0" collapsed="false">
      <c r="A301" s="44" t="s">
        <v>1457</v>
      </c>
      <c r="B301" s="44" t="s">
        <v>1388</v>
      </c>
      <c r="C301" s="44" t="s">
        <v>1483</v>
      </c>
      <c r="D301" s="44" t="s">
        <v>1483</v>
      </c>
      <c r="E301" s="44"/>
      <c r="F301" s="44" t="s">
        <v>1117</v>
      </c>
    </row>
    <row r="302" customFormat="false" ht="43.25" hidden="false" customHeight="false" outlineLevel="0" collapsed="false">
      <c r="A302" s="44" t="s">
        <v>1457</v>
      </c>
      <c r="B302" s="44" t="s">
        <v>1426</v>
      </c>
      <c r="C302" s="44" t="s">
        <v>11</v>
      </c>
      <c r="D302" s="44" t="s">
        <v>1484</v>
      </c>
      <c r="E302" s="44" t="s">
        <v>11</v>
      </c>
      <c r="F302" s="44" t="s">
        <v>1117</v>
      </c>
    </row>
    <row r="303" customFormat="false" ht="43.25" hidden="false" customHeight="false" outlineLevel="0" collapsed="false">
      <c r="A303" s="44" t="s">
        <v>1457</v>
      </c>
      <c r="B303" s="44" t="s">
        <v>1393</v>
      </c>
      <c r="C303" s="44" t="s">
        <v>12</v>
      </c>
      <c r="D303" s="44" t="s">
        <v>1485</v>
      </c>
      <c r="E303" s="44" t="s">
        <v>12</v>
      </c>
      <c r="F303" s="44" t="s">
        <v>1117</v>
      </c>
    </row>
    <row r="304" customFormat="false" ht="22.35" hidden="false" customHeight="false" outlineLevel="0" collapsed="false">
      <c r="A304" s="44" t="s">
        <v>1457</v>
      </c>
      <c r="B304" s="44" t="s">
        <v>1486</v>
      </c>
      <c r="C304" s="44" t="s">
        <v>13</v>
      </c>
      <c r="D304" s="44" t="s">
        <v>1487</v>
      </c>
      <c r="E304" s="44" t="s">
        <v>13</v>
      </c>
      <c r="F304" s="44" t="s">
        <v>1117</v>
      </c>
    </row>
    <row r="305" customFormat="false" ht="32.8" hidden="false" customHeight="false" outlineLevel="0" collapsed="false">
      <c r="A305" s="44" t="s">
        <v>1457</v>
      </c>
      <c r="B305" s="44" t="s">
        <v>1397</v>
      </c>
      <c r="C305" s="44" t="s">
        <v>14</v>
      </c>
      <c r="D305" s="44" t="s">
        <v>1488</v>
      </c>
      <c r="E305" s="44" t="s">
        <v>14</v>
      </c>
      <c r="F305" s="44" t="s">
        <v>1117</v>
      </c>
    </row>
    <row r="306" customFormat="false" ht="95.5" hidden="false" customHeight="false" outlineLevel="0" collapsed="false">
      <c r="A306" s="44" t="s">
        <v>1457</v>
      </c>
      <c r="B306" s="44" t="s">
        <v>1489</v>
      </c>
      <c r="C306" s="44" t="s">
        <v>1490</v>
      </c>
      <c r="D306" s="44" t="s">
        <v>1491</v>
      </c>
      <c r="E306" s="44" t="s">
        <v>1490</v>
      </c>
      <c r="F306" s="44" t="s">
        <v>1135</v>
      </c>
    </row>
    <row r="307" customFormat="false" ht="15" hidden="false" customHeight="false" outlineLevel="0" collapsed="false">
      <c r="A307" s="94" t="s">
        <v>1457</v>
      </c>
      <c r="B307" s="94" t="s">
        <v>1401</v>
      </c>
      <c r="C307" s="94" t="s">
        <v>16</v>
      </c>
      <c r="D307" s="94" t="s">
        <v>1184</v>
      </c>
      <c r="E307" s="94" t="s">
        <v>1185</v>
      </c>
      <c r="F307" s="94" t="s">
        <v>1186</v>
      </c>
    </row>
    <row r="308" customFormat="false" ht="15" hidden="false" customHeight="false" outlineLevel="0" collapsed="false">
      <c r="A308" s="94" t="s">
        <v>1457</v>
      </c>
      <c r="B308" s="94" t="s">
        <v>1402</v>
      </c>
      <c r="C308" s="94" t="s">
        <v>17</v>
      </c>
      <c r="D308" s="94" t="s">
        <v>1184</v>
      </c>
      <c r="E308" s="94" t="s">
        <v>1185</v>
      </c>
      <c r="F308" s="94" t="s">
        <v>1186</v>
      </c>
    </row>
    <row r="309" customFormat="false" ht="15" hidden="false" customHeight="false" outlineLevel="0" collapsed="false">
      <c r="A309" s="94" t="s">
        <v>1457</v>
      </c>
      <c r="B309" s="94" t="s">
        <v>1403</v>
      </c>
      <c r="C309" s="94" t="s">
        <v>20</v>
      </c>
      <c r="D309" s="94" t="s">
        <v>1184</v>
      </c>
      <c r="E309" s="94" t="s">
        <v>1185</v>
      </c>
      <c r="F309" s="94" t="s">
        <v>1186</v>
      </c>
    </row>
    <row r="310" customFormat="false" ht="15" hidden="false" customHeight="false" outlineLevel="0" collapsed="false">
      <c r="A310" s="94" t="s">
        <v>1457</v>
      </c>
      <c r="B310" s="94" t="s">
        <v>1363</v>
      </c>
      <c r="C310" s="94" t="s">
        <v>21</v>
      </c>
      <c r="D310" s="94" t="s">
        <v>1184</v>
      </c>
      <c r="E310" s="94" t="s">
        <v>1185</v>
      </c>
      <c r="F310" s="94" t="s">
        <v>1186</v>
      </c>
    </row>
    <row r="311" customFormat="false" ht="15" hidden="false" customHeight="false" outlineLevel="0" collapsed="false">
      <c r="A311" s="94" t="s">
        <v>1457</v>
      </c>
      <c r="B311" s="94" t="s">
        <v>1404</v>
      </c>
      <c r="C311" s="94" t="s">
        <v>22</v>
      </c>
      <c r="D311" s="94" t="s">
        <v>1184</v>
      </c>
      <c r="E311" s="94" t="s">
        <v>1185</v>
      </c>
      <c r="F311" s="94" t="s">
        <v>1186</v>
      </c>
    </row>
    <row r="312" customFormat="false" ht="15" hidden="false" customHeight="false" outlineLevel="0" collapsed="false">
      <c r="A312" s="94" t="s">
        <v>1457</v>
      </c>
      <c r="B312" s="94" t="s">
        <v>1365</v>
      </c>
      <c r="C312" s="94" t="s">
        <v>23</v>
      </c>
      <c r="D312" s="94" t="s">
        <v>1184</v>
      </c>
      <c r="E312" s="94" t="s">
        <v>1185</v>
      </c>
      <c r="F312" s="94" t="s">
        <v>1186</v>
      </c>
    </row>
    <row r="313" customFormat="false" ht="15" hidden="false" customHeight="false" outlineLevel="0" collapsed="false">
      <c r="A313" s="94" t="s">
        <v>1457</v>
      </c>
      <c r="B313" s="94" t="s">
        <v>1366</v>
      </c>
      <c r="C313" s="94" t="s">
        <v>24</v>
      </c>
      <c r="D313" s="94" t="s">
        <v>1184</v>
      </c>
      <c r="E313" s="94" t="s">
        <v>1185</v>
      </c>
      <c r="F313" s="94" t="s">
        <v>1186</v>
      </c>
    </row>
    <row r="314" customFormat="false" ht="15" hidden="false" customHeight="false" outlineLevel="0" collapsed="false">
      <c r="A314" s="94" t="s">
        <v>1457</v>
      </c>
      <c r="B314" s="94" t="s">
        <v>1367</v>
      </c>
      <c r="C314" s="94" t="s">
        <v>25</v>
      </c>
      <c r="D314" s="94" t="s">
        <v>1184</v>
      </c>
      <c r="E314" s="94" t="s">
        <v>1185</v>
      </c>
      <c r="F314" s="94" t="s">
        <v>1186</v>
      </c>
    </row>
    <row r="315" customFormat="false" ht="15" hidden="false" customHeight="false" outlineLevel="0" collapsed="false">
      <c r="A315" s="94" t="s">
        <v>1457</v>
      </c>
      <c r="B315" s="94" t="s">
        <v>1368</v>
      </c>
      <c r="C315" s="94" t="s">
        <v>26</v>
      </c>
      <c r="D315" s="94" t="s">
        <v>1184</v>
      </c>
      <c r="E315" s="94" t="s">
        <v>1185</v>
      </c>
      <c r="F315" s="94" t="s">
        <v>1186</v>
      </c>
    </row>
    <row r="316" customFormat="false" ht="15" hidden="false" customHeight="false" outlineLevel="0" collapsed="false">
      <c r="A316" s="94" t="s">
        <v>1457</v>
      </c>
      <c r="B316" s="94" t="s">
        <v>1405</v>
      </c>
      <c r="C316" s="94" t="s">
        <v>27</v>
      </c>
      <c r="D316" s="94" t="s">
        <v>1184</v>
      </c>
      <c r="E316" s="94" t="s">
        <v>1185</v>
      </c>
      <c r="F316" s="94" t="s">
        <v>1186</v>
      </c>
    </row>
    <row r="317" customFormat="false" ht="15" hidden="false" customHeight="false" outlineLevel="0" collapsed="false">
      <c r="A317" s="94" t="s">
        <v>1457</v>
      </c>
      <c r="B317" s="94" t="s">
        <v>1406</v>
      </c>
      <c r="C317" s="94" t="s">
        <v>28</v>
      </c>
      <c r="D317" s="94" t="s">
        <v>1184</v>
      </c>
      <c r="E317" s="94" t="s">
        <v>1185</v>
      </c>
      <c r="F317" s="94" t="s">
        <v>1186</v>
      </c>
    </row>
    <row r="318" customFormat="false" ht="15" hidden="false" customHeight="false" outlineLevel="0" collapsed="false">
      <c r="A318" s="94" t="s">
        <v>1457</v>
      </c>
      <c r="B318" s="94" t="s">
        <v>1407</v>
      </c>
      <c r="C318" s="94" t="s">
        <v>29</v>
      </c>
      <c r="D318" s="94" t="s">
        <v>1184</v>
      </c>
      <c r="E318" s="94" t="s">
        <v>1185</v>
      </c>
      <c r="F318" s="94" t="s">
        <v>1186</v>
      </c>
    </row>
    <row r="319" customFormat="false" ht="15" hidden="false" customHeight="false" outlineLevel="0" collapsed="false">
      <c r="A319" s="94" t="s">
        <v>1457</v>
      </c>
      <c r="B319" s="94" t="s">
        <v>1408</v>
      </c>
      <c r="C319" s="94" t="s">
        <v>30</v>
      </c>
      <c r="D319" s="94" t="s">
        <v>1184</v>
      </c>
      <c r="E319" s="94" t="s">
        <v>1185</v>
      </c>
      <c r="F319" s="94" t="s">
        <v>1186</v>
      </c>
    </row>
    <row r="320" customFormat="false" ht="15" hidden="false" customHeight="false" outlineLevel="0" collapsed="false">
      <c r="A320" s="94" t="s">
        <v>1457</v>
      </c>
      <c r="B320" s="94" t="s">
        <v>1409</v>
      </c>
      <c r="C320" s="94" t="s">
        <v>31</v>
      </c>
      <c r="D320" s="94" t="s">
        <v>1184</v>
      </c>
      <c r="E320" s="94" t="s">
        <v>1185</v>
      </c>
      <c r="F320" s="94" t="s">
        <v>1186</v>
      </c>
    </row>
    <row r="321" customFormat="false" ht="15" hidden="false" customHeight="false" outlineLevel="0" collapsed="false">
      <c r="A321" s="94" t="s">
        <v>1457</v>
      </c>
      <c r="B321" s="94" t="s">
        <v>1410</v>
      </c>
      <c r="C321" s="94" t="s">
        <v>32</v>
      </c>
      <c r="D321" s="94" t="s">
        <v>1184</v>
      </c>
      <c r="E321" s="94" t="s">
        <v>1185</v>
      </c>
      <c r="F321" s="94" t="s">
        <v>1186</v>
      </c>
    </row>
    <row r="323" customFormat="false" ht="15" hidden="false" customHeight="false" outlineLevel="0" collapsed="false">
      <c r="A323" s="94" t="s">
        <v>1492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1493</v>
      </c>
    </row>
    <row r="2" customFormat="false" ht="15" hidden="false" customHeight="false" outlineLevel="0" collapsed="false">
      <c r="A2" s="2" t="s">
        <v>1494</v>
      </c>
    </row>
    <row r="4" customFormat="false" ht="15" hidden="false" customHeight="false" outlineLevel="0" collapsed="false">
      <c r="A4" s="15" t="s">
        <v>1495</v>
      </c>
      <c r="B4" s="16" t="s">
        <v>1496</v>
      </c>
      <c r="C4" s="16" t="s">
        <v>1497</v>
      </c>
    </row>
    <row r="5" customFormat="false" ht="23.85" hidden="false" customHeight="false" outlineLevel="0" collapsed="false">
      <c r="A5" s="22" t="s">
        <v>1498</v>
      </c>
      <c r="B5" s="104" t="s">
        <v>1499</v>
      </c>
      <c r="C5" s="105" t="s">
        <v>1500</v>
      </c>
    </row>
    <row r="6" customFormat="false" ht="23.85" hidden="false" customHeight="false" outlineLevel="0" collapsed="false">
      <c r="A6" s="22" t="s">
        <v>1501</v>
      </c>
      <c r="B6" s="104" t="s">
        <v>1502</v>
      </c>
      <c r="C6" s="105" t="s">
        <v>1503</v>
      </c>
    </row>
    <row r="7" customFormat="false" ht="15" hidden="false" customHeight="false" outlineLevel="0" collapsed="false">
      <c r="A7" s="22" t="s">
        <v>1504</v>
      </c>
      <c r="B7" s="104" t="s">
        <v>1505</v>
      </c>
      <c r="C7" s="105" t="s">
        <v>1506</v>
      </c>
    </row>
    <row r="8" customFormat="false" ht="15" hidden="false" customHeight="false" outlineLevel="0" collapsed="false">
      <c r="A8" s="22" t="s">
        <v>1507</v>
      </c>
      <c r="B8" s="104" t="s">
        <v>1508</v>
      </c>
      <c r="C8" s="105" t="s">
        <v>1509</v>
      </c>
    </row>
    <row r="9" customFormat="false" ht="23.85" hidden="false" customHeight="false" outlineLevel="0" collapsed="false">
      <c r="A9" s="22" t="s">
        <v>1510</v>
      </c>
      <c r="B9" s="104" t="s">
        <v>1511</v>
      </c>
      <c r="C9" s="105" t="s">
        <v>1512</v>
      </c>
    </row>
    <row r="10" customFormat="false" ht="23.85" hidden="false" customHeight="false" outlineLevel="0" collapsed="false">
      <c r="A10" s="22" t="s">
        <v>1513</v>
      </c>
      <c r="B10" s="104" t="s">
        <v>1514</v>
      </c>
      <c r="C10" s="105" t="s">
        <v>1515</v>
      </c>
    </row>
    <row r="11" customFormat="false" ht="15" hidden="false" customHeight="false" outlineLevel="0" collapsed="false">
      <c r="A11" s="22" t="s">
        <v>1516</v>
      </c>
      <c r="B11" s="104" t="s">
        <v>1517</v>
      </c>
      <c r="C11" s="105" t="s">
        <v>1518</v>
      </c>
    </row>
    <row r="12" customFormat="false" ht="15" hidden="false" customHeight="false" outlineLevel="0" collapsed="false">
      <c r="A12" s="22" t="s">
        <v>1519</v>
      </c>
      <c r="B12" s="104" t="s">
        <v>1520</v>
      </c>
      <c r="C12" s="105" t="s">
        <v>1521</v>
      </c>
    </row>
    <row r="13" customFormat="false" ht="23.85" hidden="false" customHeight="false" outlineLevel="0" collapsed="false">
      <c r="A13" s="22" t="s">
        <v>1522</v>
      </c>
      <c r="B13" s="104" t="s">
        <v>1523</v>
      </c>
      <c r="C13" s="105" t="s">
        <v>1524</v>
      </c>
    </row>
    <row r="14" customFormat="false" ht="15" hidden="false" customHeight="false" outlineLevel="0" collapsed="false">
      <c r="A14" s="22" t="s">
        <v>1525</v>
      </c>
      <c r="B14" s="104" t="s">
        <v>1526</v>
      </c>
      <c r="C14" s="105" t="s">
        <v>1527</v>
      </c>
    </row>
    <row r="15" customFormat="false" ht="15" hidden="false" customHeight="false" outlineLevel="0" collapsed="false">
      <c r="A15" s="22" t="s">
        <v>1528</v>
      </c>
      <c r="B15" s="104" t="s">
        <v>1529</v>
      </c>
      <c r="C15" s="105" t="s">
        <v>1530</v>
      </c>
    </row>
    <row r="16" customFormat="false" ht="23.85" hidden="false" customHeight="false" outlineLevel="0" collapsed="false">
      <c r="A16" s="22" t="s">
        <v>1531</v>
      </c>
      <c r="B16" s="104" t="s">
        <v>1532</v>
      </c>
      <c r="C16" s="105" t="s">
        <v>1533</v>
      </c>
    </row>
    <row r="17" customFormat="false" ht="23.85" hidden="false" customHeight="false" outlineLevel="0" collapsed="false">
      <c r="A17" s="22" t="s">
        <v>1534</v>
      </c>
      <c r="B17" s="104" t="s">
        <v>1535</v>
      </c>
      <c r="C17" s="105" t="s">
        <v>1536</v>
      </c>
    </row>
    <row r="18" customFormat="false" ht="15" hidden="false" customHeight="false" outlineLevel="0" collapsed="false">
      <c r="A18" s="22" t="s">
        <v>1537</v>
      </c>
      <c r="B18" s="104" t="s">
        <v>1538</v>
      </c>
      <c r="C18" s="105" t="s">
        <v>1539</v>
      </c>
    </row>
    <row r="19" customFormat="false" ht="15" hidden="false" customHeight="false" outlineLevel="0" collapsed="false">
      <c r="A19" s="22" t="s">
        <v>1540</v>
      </c>
      <c r="B19" s="104" t="s">
        <v>1541</v>
      </c>
      <c r="C19" s="105" t="s">
        <v>1542</v>
      </c>
    </row>
    <row r="20" customFormat="false" ht="23.85" hidden="false" customHeight="false" outlineLevel="0" collapsed="false">
      <c r="A20" s="22" t="s">
        <v>1543</v>
      </c>
      <c r="B20" s="104" t="s">
        <v>1544</v>
      </c>
      <c r="C20" s="105" t="s">
        <v>1545</v>
      </c>
    </row>
    <row r="21" customFormat="false" ht="15" hidden="false" customHeight="false" outlineLevel="0" collapsed="false">
      <c r="A21" s="22" t="s">
        <v>1546</v>
      </c>
      <c r="B21" s="104" t="s">
        <v>1547</v>
      </c>
      <c r="C21" s="105" t="s">
        <v>1548</v>
      </c>
    </row>
    <row r="22" customFormat="false" ht="15" hidden="false" customHeight="false" outlineLevel="0" collapsed="false">
      <c r="A22" s="22" t="s">
        <v>1549</v>
      </c>
      <c r="B22" s="104" t="s">
        <v>1550</v>
      </c>
      <c r="C22" s="105" t="s">
        <v>1551</v>
      </c>
    </row>
    <row r="23" customFormat="false" ht="15" hidden="false" customHeight="false" outlineLevel="0" collapsed="false">
      <c r="A23" s="22" t="s">
        <v>1552</v>
      </c>
      <c r="B23" s="104" t="s">
        <v>1553</v>
      </c>
      <c r="C23" s="105" t="s">
        <v>1554</v>
      </c>
    </row>
    <row r="24" customFormat="false" ht="23.85" hidden="false" customHeight="false" outlineLevel="0" collapsed="false">
      <c r="A24" s="22" t="s">
        <v>1555</v>
      </c>
      <c r="B24" s="104" t="s">
        <v>1556</v>
      </c>
      <c r="C24" s="105" t="s">
        <v>1557</v>
      </c>
    </row>
    <row r="25" customFormat="false" ht="23.85" hidden="false" customHeight="false" outlineLevel="0" collapsed="false">
      <c r="A25" s="22" t="s">
        <v>1558</v>
      </c>
      <c r="B25" s="104" t="s">
        <v>1559</v>
      </c>
      <c r="C25" s="105" t="s">
        <v>1560</v>
      </c>
    </row>
    <row r="26" customFormat="false" ht="23.85" hidden="false" customHeight="false" outlineLevel="0" collapsed="false">
      <c r="A26" s="22" t="s">
        <v>1561</v>
      </c>
      <c r="B26" s="104" t="s">
        <v>1562</v>
      </c>
      <c r="C26" s="105" t="s">
        <v>1563</v>
      </c>
    </row>
    <row r="27" customFormat="false" ht="15" hidden="false" customHeight="false" outlineLevel="0" collapsed="false">
      <c r="A27" s="22" t="s">
        <v>1564</v>
      </c>
      <c r="B27" s="104" t="s">
        <v>1565</v>
      </c>
      <c r="C27" s="105" t="s">
        <v>1566</v>
      </c>
    </row>
    <row r="28" customFormat="false" ht="23.85" hidden="false" customHeight="false" outlineLevel="0" collapsed="false">
      <c r="A28" s="22" t="s">
        <v>1567</v>
      </c>
      <c r="B28" s="104" t="s">
        <v>1568</v>
      </c>
      <c r="C28" s="105" t="s">
        <v>1569</v>
      </c>
    </row>
    <row r="29" customFormat="false" ht="23.85" hidden="false" customHeight="false" outlineLevel="0" collapsed="false">
      <c r="A29" s="22" t="s">
        <v>1570</v>
      </c>
      <c r="B29" s="104" t="s">
        <v>1571</v>
      </c>
      <c r="C29" s="105" t="s">
        <v>1572</v>
      </c>
    </row>
    <row r="30" customFormat="false" ht="23.85" hidden="false" customHeight="false" outlineLevel="0" collapsed="false">
      <c r="A30" s="22" t="s">
        <v>1573</v>
      </c>
      <c r="B30" s="104" t="s">
        <v>1574</v>
      </c>
      <c r="C30" s="105" t="s">
        <v>1575</v>
      </c>
    </row>
    <row r="31" customFormat="false" ht="23.85" hidden="false" customHeight="false" outlineLevel="0" collapsed="false">
      <c r="A31" s="22" t="s">
        <v>1576</v>
      </c>
      <c r="B31" s="104" t="s">
        <v>1577</v>
      </c>
      <c r="C31" s="105" t="s">
        <v>1578</v>
      </c>
    </row>
    <row r="32" customFormat="false" ht="23.85" hidden="false" customHeight="false" outlineLevel="0" collapsed="false">
      <c r="A32" s="22" t="s">
        <v>1579</v>
      </c>
      <c r="B32" s="104" t="s">
        <v>1580</v>
      </c>
      <c r="C32" s="105" t="s">
        <v>1581</v>
      </c>
    </row>
    <row r="33" customFormat="false" ht="23.85" hidden="false" customHeight="false" outlineLevel="0" collapsed="false">
      <c r="A33" s="22" t="s">
        <v>1582</v>
      </c>
      <c r="B33" s="104" t="s">
        <v>1583</v>
      </c>
      <c r="C33" s="105" t="s">
        <v>1584</v>
      </c>
    </row>
    <row r="34" customFormat="false" ht="23.85" hidden="false" customHeight="false" outlineLevel="0" collapsed="false">
      <c r="A34" s="22" t="s">
        <v>1585</v>
      </c>
      <c r="B34" s="104" t="s">
        <v>1586</v>
      </c>
      <c r="C34" s="105" t="s">
        <v>1587</v>
      </c>
    </row>
    <row r="35" customFormat="false" ht="23.85" hidden="false" customHeight="false" outlineLevel="0" collapsed="false">
      <c r="A35" s="22" t="s">
        <v>1588</v>
      </c>
      <c r="B35" s="104" t="s">
        <v>1589</v>
      </c>
      <c r="C35" s="105" t="s">
        <v>1590</v>
      </c>
    </row>
    <row r="36" customFormat="false" ht="23.85" hidden="false" customHeight="false" outlineLevel="0" collapsed="false">
      <c r="A36" s="22" t="s">
        <v>1591</v>
      </c>
      <c r="B36" s="104" t="s">
        <v>1592</v>
      </c>
      <c r="C36" s="105" t="s">
        <v>1593</v>
      </c>
    </row>
    <row r="37" customFormat="false" ht="23.85" hidden="false" customHeight="false" outlineLevel="0" collapsed="false">
      <c r="A37" s="22" t="s">
        <v>1594</v>
      </c>
      <c r="B37" s="104" t="s">
        <v>1595</v>
      </c>
      <c r="C37" s="105" t="s">
        <v>1596</v>
      </c>
    </row>
    <row r="38" customFormat="false" ht="15" hidden="false" customHeight="false" outlineLevel="0" collapsed="false">
      <c r="A38" s="22" t="s">
        <v>1597</v>
      </c>
      <c r="B38" s="104" t="s">
        <v>1598</v>
      </c>
      <c r="C38" s="105" t="s">
        <v>1599</v>
      </c>
    </row>
    <row r="39" customFormat="false" ht="15" hidden="false" customHeight="false" outlineLevel="0" collapsed="false">
      <c r="A39" s="22" t="s">
        <v>1600</v>
      </c>
      <c r="B39" s="104" t="s">
        <v>1601</v>
      </c>
      <c r="C39" s="105" t="s">
        <v>1602</v>
      </c>
    </row>
    <row r="40" customFormat="false" ht="23.85" hidden="false" customHeight="false" outlineLevel="0" collapsed="false">
      <c r="A40" s="22" t="s">
        <v>1603</v>
      </c>
      <c r="B40" s="104" t="s">
        <v>1604</v>
      </c>
      <c r="C40" s="105" t="s">
        <v>1605</v>
      </c>
    </row>
    <row r="41" customFormat="false" ht="23.85" hidden="false" customHeight="false" outlineLevel="0" collapsed="false">
      <c r="A41" s="22" t="s">
        <v>1606</v>
      </c>
      <c r="B41" s="104" t="s">
        <v>1607</v>
      </c>
      <c r="C41" s="105" t="s">
        <v>1608</v>
      </c>
    </row>
    <row r="42" customFormat="false" ht="15" hidden="false" customHeight="false" outlineLevel="0" collapsed="false">
      <c r="A42" s="22" t="s">
        <v>1609</v>
      </c>
      <c r="B42" s="104" t="s">
        <v>1610</v>
      </c>
      <c r="C42" s="105" t="s">
        <v>1611</v>
      </c>
    </row>
  </sheetData>
  <hyperlinks>
    <hyperlink ref="C5" r:id="rId1" display="https://theedgemalaysia.com/node/718600"/>
    <hyperlink ref="C6" r:id="rId2" display="https://www.starproperty.my/news/klgcc-mall-gains-85-committed-occupancy-ahead-of-soft-opening/132620"/>
    <hyperlink ref="C7" r:id="rId3" display="https://www.starproperty.my/news/property-news/kl-east-mall-announces-line-up-of-key-tenants/115980"/>
    <hyperlink ref="C8" r:id="rId4" display="https://trexon.my/blog/ev-charger-installation-cost-malaysia-2026"/>
    <hyperlink ref="C9" r:id="rId5" display="https://trexon.my/solar-cost"/>
    <hyperlink ref="C10" r:id="rId6" display="https://theedgemalaysia.com/article/lure-smallscale-solar."/>
    <hyperlink ref="C11" r:id="rId7" display="https://ibfimonline.com/wp-content/uploads/2020/09/EE-Sector-Role-of-MAESCO-in-Developing-Financially-Viable-EE-Project-by-MAESCO.pdf"/>
    <hyperlink ref="C12" r:id="rId8" display="https://www.businesstoday.com.my/2025/07/02/new-tariff-could-ease-tnbs-elevated-capital-expenditure-plans-hlib/"/>
    <hyperlink ref="C13" r:id="rId9" display="https://myenergystats.st.gov.my/documents/d/guest/grid-emission-factor-gef-in-malaysia-2022-2024-provisional-"/>
    <hyperlink ref="C14" r:id="rId10" display="https://ringgitplus.com/en/blog/personal-finance-news/chargesinis-dc-rates-now-start-from-rm1-19.html"/>
    <hyperlink ref="C15" r:id="rId11" display="https://www.abm.org.my/wp-content/uploads/2026/08/website-FD-Rates-as-at-15-Aug-2026.pdf"/>
    <hyperlink ref="C16" r:id="rId12" display="https://simedarbyproperty.com/annualreport2024/download/sdp-ir2024-key-highlights.pdf"/>
    <hyperlink ref="C17" r:id="rId13" display="https://dnh.com.my/8-things-to-be-aware-of-before-renting-that-mall-space/"/>
    <hyperlink ref="C18" r:id="rId14" display="https://www.eco-business.com/id/press-releases/malaysias-sunway-pyramid-mall-cuts-rm3-million-in-annual-energy-cost-for-seven-consecutive-years-with-johnson-controls-technology/"/>
    <hyperlink ref="C19" r:id="rId15" display="https://www.pitchin.my/raise"/>
    <hyperlink ref="C20" r:id="rId16" display="https://www.secondtalent.com/developer-rate-card/malaysia/"/>
    <hyperlink ref="C21" r:id="rId17" display="https://www.ajobthing.com/resources/blog/epf-socso-eis-contribution-2026-latest-rates-rules-employer-guide-malaysia"/>
    <hyperlink ref="C22" r:id="rId18" display="https://automationatlas.io/answers/supabase-pricing-explained-2026/"/>
    <hyperlink ref="C23" r:id="rId19" display="https://makerkit.dev/blog/saas/vercel-cost"/>
    <hyperlink ref="C25" r:id="rId20" display="https://trexon.my/solutions/esco"/>
    <hyperlink ref="C26" r:id="rId21" display="https://www.spglobal.com/energy/en/news-research/latest-news/energy-transition/042426-malaysian-solar-i-rec-demand-rises-on-afa-expectations-singapore-preference"/>
    <hyperlink ref="C27" r:id="rId22" display="https://cradle.com.my/cip-spark/"/>
    <hyperlink ref="C28" r:id="rId23" display="https://www.capitalmarketsmalaysia.com/digital-equity-crowdfunding-ecf/"/>
    <hyperlink ref="C29" r:id="rId24" display="https://soyacincau.com/2026/07/18/chargev-aeon-mall-cheras-selatan-level-2-ev-charger/"/>
    <hyperlink ref="C30" r:id="rId25" display="https://marii.my/wp-content/uploads/2026/04/NEW-FAQ-EVCS.pdf"/>
    <hyperlink ref="C31" r:id="rId26" display="https://malaysia4u.com/ev-charging-guide"/>
    <hyperlink ref="C32" r:id="rId27" display="https://www.plusxnergy.com/?p=2574"/>
    <hyperlink ref="C33" r:id="rId28" display="https://trexon.my/guides/tnb-medium-voltage-tariff-rp4"/>
    <hyperlink ref="C34" r:id="rId29" display="https://www.tuv.com/regulations-and-standards/en/malaysia-guidelines-on-electric-vehicle-charging-system-evcs.html"/>
    <hyperlink ref="C35" r:id="rId30" display="https://fmtv5.freemalaysiatoday.com/category/nation/2025/10/30/high-costs-slow-approvals-stall-malaysias-ev-charger-target"/>
    <hyperlink ref="C36" r:id="rId31" display="https://hypercharge.com/blog/how-much-does-it-cost-to-operate-ev-charging-stations-for-apartments-condos-and-businesses/"/>
    <hyperlink ref="C37" r:id="rId32" display="https://www.mida.gov.my/mida-news/government-bolsters-ev-charging-infrastructure-development-with-key-incentives/"/>
    <hyperlink ref="C38" r:id="rId33" display="https://says.com/my/tech/ev-tax-filing-lhdn"/>
    <hyperlink ref="C39" r:id="rId34" display="https://www.st.gov.my/contents/2025/CREAM/siaran_mediaeng.pdf"/>
    <hyperlink ref="C40" r:id="rId35" display="https://www.businesstoday.com.my/2025/04/28/sdp-tnb-launch-nations-first-community-solar-aggregation-at-elmina/"/>
    <hyperlink ref="C41" r:id="rId36" display="https://api.edgeprop.my/content/1913891/sime-darby-property-launches-nation’s-first-residential-solar-project"/>
    <hyperlink ref="C42" r:id="rId37" display="https://trexon.my/guides/solar-panel-cost-malaysi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2026-10-15T23:41:47Z</dcterms:created>
  <dc:creator>openpyxl</dc:creator>
  <dc:description/>
  <dc:language>en-US</dc:language>
  <cp:lastModifiedBy/>
  <dcterms:modified xsi:type="dcterms:W3CDTF">2026-10-16T07:41:50Z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